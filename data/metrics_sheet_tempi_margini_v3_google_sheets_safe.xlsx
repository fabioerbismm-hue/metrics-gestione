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e8fde04c3646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e7ae2644b854d17"/>
    <x:sheet xmlns:r="http://schemas.openxmlformats.org/officeDocument/2006/relationships" name="Attività &amp; Tempi" sheetId="2" r:id="Raa10e1e5f5554c44"/>
    <x:sheet xmlns:r="http://schemas.openxmlformats.org/officeDocument/2006/relationships" name="Costi &amp; Tool" sheetId="3" r:id="R8b53754b34114b1e"/>
    <x:sheet xmlns:r="http://schemas.openxmlformats.org/officeDocument/2006/relationships" name="Margini Clienti" sheetId="4" r:id="Rcc182788720b4f0c"/>
    <x:sheet xmlns:r="http://schemas.openxmlformats.org/officeDocument/2006/relationships" name="Acquisizione Metrics" sheetId="5" r:id="Rd677cf7c491b4d71"/>
    <x:sheet xmlns:r="http://schemas.openxmlformats.org/officeDocument/2006/relationships" name="Rinnovo &amp; Rinegoziazione" sheetId="6" r:id="Rd9c8212aeb25447f"/>
    <x:sheet xmlns:r="http://schemas.openxmlformats.org/officeDocument/2006/relationships" name="Impostazioni" sheetId="7" r:id="R45e9189b8c5343c4"/>
    <x:sheet xmlns:r="http://schemas.openxmlformats.org/officeDocument/2006/relationships" name="Liste" sheetId="8" r:id="R0c11421fd62a4464"/>
    <x:sheet xmlns:r="http://schemas.openxmlformats.org/officeDocument/2006/relationships" name="Legenda" sheetId="9" r:id="Rf8984894077240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%"/>
    <x:numFmt numFmtId="201" formatCode="€ #,##0"/>
    <x:numFmt numFmtId="202" formatCode="0"/>
    <x:numFmt numFmtId="203" formatCode="0.00"/>
    <x:numFmt numFmtId="204" formatCode="€ #,##0.00"/>
    <x:numFmt numFmtId="205" formatCode="0%"/>
    <x:numFmt numFmtId="206" formatCode="0.0%"/>
  </x:numFmts>
  <x:fonts count="10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  <x:font>
      <x:sz val="11"/>
      <x:color rgb="111827"/>
      <x:name val="Carlito"/>
    </x:font>
    <x:font>
      <x:b/>
      <x:sz val="10"/>
      <x:color rgb="FFFFFF"/>
      <x:name val="Aptos"/>
    </x:font>
    <x:font>
      <x:sz val="10"/>
      <x:name val="Aptos"/>
    </x:font>
    <x:font>
      <x:b/>
      <x:sz val="16"/>
      <x:color rgb="FFFFFF"/>
      <x:name val="Aptos"/>
    </x:font>
    <x:font>
      <x:b/>
      <x:sz val="11"/>
      <x:name val="Carlito"/>
    </x:font>
    <x:font>
      <x:b/>
      <x:sz val="13"/>
      <x:color rgb="FFFFFF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334155"/>
      </x:patternFill>
    </x:fill>
    <x:fill>
      <x:patternFill patternType="solid">
        <x:fgColor rgb="2563EB"/>
      </x:patternFill>
    </x:fill>
    <x:fill>
      <x:patternFill patternType="solid">
        <x:fgColor rgb="E0F2FE"/>
      </x:patternFill>
    </x:fill>
    <x:fill>
      <x:patternFill patternType="solid">
        <x:fgColor rgb="FFFFFF"/>
      </x:patternFill>
    </x:fill>
    <x:fill>
      <x:patternFill patternType="solid">
        <x:fgColor rgb="16A34A"/>
      </x:patternFill>
    </x:fill>
    <x:fill>
      <x:patternFill patternType="solid">
        <x:fgColor rgb="DCFCE7"/>
      </x:patternFill>
    </x:fill>
    <x:fill>
      <x:patternFill patternType="solid">
        <x:fgColor rgb="F59E0B"/>
      </x:patternFill>
    </x:fill>
    <x:fill>
      <x:patternFill patternType="solid">
        <x:fgColor rgb="0F172A"/>
      </x:patternFill>
    </x:fill>
    <x:fill>
      <x:patternFill patternType="solid">
        <x:fgColor rgb="1F2937"/>
      </x:patternFill>
    </x:fill>
    <x:fill>
      <x:patternFill patternType="solid">
        <x:fgColor rgb="FEF3C7"/>
      </x:patternFill>
    </x:fill>
    <x:fill>
      <x:patternFill patternType="solid">
        <x:fgColor rgb="E0F2FE"/>
      </x:patternFill>
    </x:fill>
    <x:fill>
      <x:patternFill patternType="solid">
        <x:fgColor rgb="E5E7EB"/>
      </x:patternFill>
    </x:fill>
    <x:fill>
      <x:patternFill patternType="solid">
        <x:fgColor rgb="DCFCE7"/>
      </x:patternFill>
    </x:fill>
    <x:fill>
      <x:patternFill patternType="solid">
        <x:fgColor rgb="FFEDD5"/>
      </x:patternFill>
    </x:fill>
    <x:fill>
      <x:patternFill patternType="solid">
        <x:fgColor rgb="111827"/>
      </x:patternFill>
    </x:fill>
    <x:fill>
      <x:patternFill patternType="solid">
        <x:fgColor rgb="E5E7EB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2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2" fillId="3" borderId="0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/>
    <x:xf numFmtId="201" fontId="2" fillId="3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2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left"/>
    </x:xf>
    <x:xf numFmtId="0" fontId="2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4" fontId="0" fillId="6" borderId="0" xfId="0" applyNumberFormat="1" applyFont="1" applyFill="1" applyBorder="1"/>
    <x:xf numFmtId="206" fontId="0" fillId="6" borderId="0" xfId="0" applyNumberFormat="1" applyFont="1" applyFill="1" applyBorder="1"/>
    <x:xf numFmtId="204" fontId="3" fillId="6" borderId="0" xfId="0" applyNumberFormat="1" applyFont="1" applyFill="1" applyBorder="1"/>
    <x:xf numFmtId="206" fontId="3" fillId="6" borderId="0" xfId="0" applyNumberFormat="1" applyFont="1" applyFill="1" applyBorder="1"/>
    <x:xf numFmtId="204" fontId="3" fillId="6" borderId="0" xfId="0" applyNumberFormat="1" applyFont="1" applyFill="1" applyBorder="1" applyAlignment="1">
      <x:alignment horizontal="right"/>
    </x:xf>
    <x:xf numFmtId="206" fontId="3" fillId="6" borderId="0" xfId="0" applyNumberFormat="1" applyFont="1" applyFill="1" applyBorder="1" applyAlignment="1">
      <x:alignment horizontal="right"/>
    </x:xf>
    <x:xf numFmtId="204" fontId="0" fillId="6" borderId="1" xfId="0" applyNumberFormat="1" applyFont="1" applyFill="1" applyBorder="1"/>
    <x:xf numFmtId="206" fontId="0" fillId="6" borderId="1" xfId="0" applyNumberFormat="1" applyFont="1" applyFill="1" applyBorder="1"/>
    <x:xf numFmtId="204" fontId="3" fillId="6" borderId="1" xfId="0" applyNumberFormat="1" applyFont="1" applyFill="1" applyBorder="1"/>
    <x:xf numFmtId="206" fontId="3" fillId="6" borderId="1" xfId="0" applyNumberFormat="1" applyFont="1" applyFill="1" applyBorder="1"/>
    <x:xf numFmtId="204" fontId="3" fillId="6" borderId="1" xfId="0" applyNumberFormat="1" applyFont="1" applyFill="1" applyBorder="1" applyAlignment="1">
      <x:alignment horizontal="right"/>
    </x:xf>
    <x:xf numFmtId="206" fontId="3" fillId="6" borderId="1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horizontal="left" vertical="center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left"/>
    </x:xf>
    <x:xf numFmtId="0" fontId="2" fillId="7" borderId="1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203" fontId="0" fillId="6" borderId="0" xfId="0" applyNumberFormat="1" applyFont="1" applyFill="1" applyBorder="1"/>
    <x:xf numFmtId="203" fontId="3" fillId="6" borderId="0" xfId="0" applyNumberFormat="1" applyFont="1" applyFill="1" applyBorder="1"/>
    <x:xf numFmtId="203" fontId="3" fillId="6" borderId="0" xfId="0" applyNumberFormat="1" applyFont="1" applyFill="1" applyBorder="1" applyAlignment="1">
      <x:alignment horizontal="right"/>
    </x:xf>
    <x:xf numFmtId="203" fontId="0" fillId="6" borderId="1" xfId="0" applyNumberFormat="1" applyFont="1" applyFill="1" applyBorder="1"/>
    <x:xf numFmtId="203" fontId="3" fillId="6" borderId="1" xfId="0" applyNumberFormat="1" applyFont="1" applyFill="1" applyBorder="1"/>
    <x:xf numFmtId="203" fontId="3" fillId="6" borderId="1" xfId="0" applyNumberFormat="1" applyFont="1" applyFill="1" applyBorder="1" applyAlignment="1">
      <x:alignment horizontal="right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left"/>
    </x:xf>
    <x:xf numFmtId="0" fontId="2" fillId="9" borderId="0" xfId="0" applyNumberFormat="1" applyFont="1" applyFill="1" applyBorder="1" applyAlignment="1">
      <x:alignment horizontal="left" vertical="center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horizontal="left"/>
    </x:xf>
    <x:xf numFmtId="0" fontId="2" fillId="9" borderId="1" xfId="0" applyNumberFormat="1" applyFont="1" applyFill="1" applyBorder="1" applyAlignment="1">
      <x:alignment horizontal="left" vertical="center"/>
    </x:xf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horizontal="center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203" fontId="4" fillId="6" borderId="0" xfId="0" applyNumberFormat="1" applyFont="1" applyFill="1" applyBorder="1"/>
    <x:xf numFmtId="206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203" fontId="4" fillId="6" borderId="0" xfId="0" applyNumberFormat="1" applyFont="1" applyFill="1" applyBorder="1" applyAlignment="1">
      <x:alignment horizontal="center"/>
    </x:xf>
    <x:xf numFmtId="206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203" fontId="4" fillId="6" borderId="1" xfId="0" applyNumberFormat="1" applyFont="1" applyFill="1" applyBorder="1"/>
    <x:xf numFmtId="206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203" fontId="4" fillId="6" borderId="1" xfId="0" applyNumberFormat="1" applyFont="1" applyFill="1" applyBorder="1" applyAlignment="1">
      <x:alignment horizontal="center"/>
    </x:xf>
    <x:xf numFmtId="206" fontId="4" fillId="6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204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4" fontId="4" fillId="6" borderId="0" xfId="0" applyNumberFormat="1" applyFont="1" applyFill="1" applyBorder="1" applyAlignment="1">
      <x:alignment wrapText="1"/>
    </x:xf>
    <x:xf numFmtId="203" fontId="4" fillId="6" borderId="0" xfId="0" applyNumberFormat="1" applyFont="1" applyFill="1" applyBorder="1" applyAlignment="1">
      <x:alignment wrapText="1"/>
    </x:xf>
    <x:xf numFmtId="206" fontId="4" fillId="6" borderId="0" xfId="0" applyNumberFormat="1" applyFont="1" applyFill="1" applyBorder="1" applyAlignment="1">
      <x:alignment wrapText="1"/>
    </x:xf>
    <x:xf numFmtId="204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204" fontId="4" fillId="6" borderId="1" xfId="0" applyNumberFormat="1" applyFont="1" applyFill="1" applyBorder="1" applyAlignment="1">
      <x:alignment wrapText="1"/>
    </x:xf>
    <x:xf numFmtId="203" fontId="4" fillId="6" borderId="1" xfId="0" applyNumberFormat="1" applyFont="1" applyFill="1" applyBorder="1" applyAlignment="1">
      <x:alignment wrapText="1"/>
    </x:xf>
    <x:xf numFmtId="206" fontId="4" fillId="6" borderId="1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204" fontId="3" fillId="6" borderId="0" xfId="0" applyNumberFormat="1" applyFont="1" applyFill="1" applyBorder="1" applyAlignment="1">
      <x:alignment horizontal="center"/>
    </x:xf>
    <x:xf numFmtId="203" fontId="3" fillId="6" borderId="0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204" fontId="3" fillId="6" borderId="1" xfId="0" applyNumberFormat="1" applyFont="1" applyFill="1" applyBorder="1" applyAlignment="1">
      <x:alignment horizontal="center"/>
    </x:xf>
    <x:xf numFmtId="203" fontId="3" fillId="6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left" vertical="center"/>
    </x:xf>
    <x:xf numFmtId="0" fontId="6" fillId="0" borderId="1" xfId="0" applyNumberFormat="1" applyFont="1" applyFill="1" applyBorder="1"/>
    <x:xf numFmtId="0" fontId="5" fillId="2" borderId="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left" vertical="center" wrapText="1"/>
    </x:xf>
    <x:xf numFmtId="0" fontId="6" fillId="0" borderId="1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203" fontId="6" fillId="0" borderId="0" xfId="0" applyNumberFormat="1" applyFont="1" applyFill="1" applyBorder="1" applyAlignment="1">
      <x:alignment wrapText="1"/>
    </x:xf>
    <x:xf numFmtId="205" fontId="6" fillId="0" borderId="0" xfId="0" applyNumberFormat="1" applyFont="1" applyFill="1" applyBorder="1" applyAlignment="1">
      <x:alignment wrapText="1"/>
    </x:xf>
    <x:xf numFmtId="206" fontId="6" fillId="0" borderId="0" xfId="0" applyNumberFormat="1" applyFont="1" applyFill="1" applyBorder="1" applyAlignment="1">
      <x:alignment wrapText="1"/>
    </x:xf>
    <x:xf numFmtId="204" fontId="6" fillId="0" borderId="1" xfId="0" applyNumberFormat="1" applyFont="1" applyFill="1" applyBorder="1" applyAlignment="1">
      <x:alignment wrapText="1"/>
    </x:xf>
    <x:xf numFmtId="203" fontId="6" fillId="0" borderId="1" xfId="0" applyNumberFormat="1" applyFont="1" applyFill="1" applyBorder="1" applyAlignment="1">
      <x:alignment wrapText="1"/>
    </x:xf>
    <x:xf numFmtId="205" fontId="6" fillId="0" borderId="1" xfId="0" applyNumberFormat="1" applyFont="1" applyFill="1" applyBorder="1" applyAlignment="1">
      <x:alignment wrapText="1"/>
    </x:xf>
    <x:xf numFmtId="206" fontId="6" fillId="0" borderId="1" xfId="0" applyNumberFormat="1" applyFont="1" applyFill="1" applyBorder="1" applyAlignment="1">
      <x:alignment wrapText="1"/>
    </x:xf>
    <x:xf numFmtId="204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1" xfId="0" applyNumberFormat="1" applyFont="1" applyFill="1" applyBorder="1"/>
    <x:xf numFmtId="203" fontId="6" fillId="0" borderId="1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6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left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horizontal="center"/>
    </x:xf>
    <x:xf numFmtId="0" fontId="2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0" fillId="14" borderId="0" xfId="0" applyNumberFormat="1" applyFont="1" applyFill="1" applyBorder="1"/>
    <x:xf numFmtId="0" fontId="0" fillId="15" borderId="0" xfId="0" applyNumberFormat="1" applyFont="1" applyFill="1" applyBorder="1"/>
    <x:xf numFmtId="0" fontId="0" fillId="16" borderId="0" xfId="0" applyNumberFormat="1" applyFont="1" applyFill="1" applyBorder="1"/>
    <x:xf numFmtId="0" fontId="2" fillId="10" borderId="0" xfId="0" applyNumberFormat="1" applyFont="1" applyFill="1" applyBorder="1" applyAlignment="1">
      <x:alignment horizontal="center" vertical="center" wrapText="1"/>
    </x:xf>
    <x:xf numFmtId="0" fontId="2" fillId="11" borderId="0" xfId="0" applyNumberFormat="1" applyFont="1" applyFill="1" applyBorder="1" applyAlignment="1">
      <x:alignment horizontal="center" wrapText="1"/>
    </x:xf>
    <x:xf numFmtId="0" fontId="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203" fontId="0" fillId="13" borderId="0" xfId="0" applyNumberFormat="1" applyFont="1" applyFill="1" applyBorder="1"/>
    <x:xf numFmtId="203" fontId="0" fillId="13" borderId="0" xfId="0" applyNumberFormat="1" applyFont="1" applyFill="1" applyBorder="1" applyAlignment="1">
      <x:alignment wrapText="1"/>
    </x:xf>
    <x:xf numFmtId="204" fontId="0" fillId="12" borderId="0" xfId="0" applyNumberFormat="1" applyFont="1" applyFill="1" applyBorder="1"/>
    <x:xf numFmtId="204" fontId="0" fillId="13" borderId="0" xfId="0" applyNumberFormat="1" applyFont="1" applyFill="1" applyBorder="1"/>
    <x:xf numFmtId="204" fontId="0" fillId="12" borderId="0" xfId="0" applyNumberFormat="1" applyFont="1" applyFill="1" applyBorder="1" applyAlignment="1">
      <x:alignment wrapText="1"/>
    </x:xf>
    <x:xf numFmtId="204" fontId="0" fillId="13" borderId="0" xfId="0" applyNumberFormat="1" applyFont="1" applyFill="1" applyBorder="1" applyAlignment="1">
      <x:alignment wrapText="1"/>
    </x:xf>
    <x:xf numFmtId="201" fontId="2" fillId="11" borderId="0" xfId="0" applyNumberFormat="1" applyFont="1" applyFill="1" applyBorder="1" applyAlignment="1">
      <x:alignment horizontal="center" vertical="center" wrapText="1"/>
    </x:xf>
    <x:xf numFmtId="201" fontId="0" fillId="12" borderId="0" xfId="0" applyNumberFormat="1" applyFont="1" applyFill="1" applyBorder="1"/>
    <x:xf numFmtId="200" fontId="0" fillId="12" borderId="0" xfId="0" applyNumberFormat="1" applyFont="1" applyFill="1" applyBorder="1"/>
    <x:xf numFmtId="202" fontId="0" fillId="12" borderId="0" xfId="0" applyNumberFormat="1" applyFont="1" applyFill="1" applyBorder="1"/>
    <x:xf numFmtId="0" fontId="8" fillId="14" borderId="0" xfId="0" applyNumberFormat="1" applyFont="1" applyFill="1" applyBorder="1"/>
    <x:xf numFmtId="0" fontId="8" fillId="14" borderId="0" xfId="0" applyNumberFormat="1" applyFont="1" applyFill="1" applyBorder="1" applyAlignment="1">
      <x:alignment wrapText="1"/>
    </x:xf>
    <x:xf numFmtId="201" fontId="0" fillId="12" borderId="0" xfId="0" applyNumberFormat="1" applyFont="1" applyFill="1" applyBorder="1" applyAlignment="1">
      <x:alignment wrapText="1"/>
    </x:xf>
    <x:xf numFmtId="200" fontId="0" fillId="12" borderId="0" xfId="0" applyNumberFormat="1" applyFont="1" applyFill="1" applyBorder="1" applyAlignment="1">
      <x:alignment wrapText="1"/>
    </x:xf>
    <x:xf numFmtId="202" fontId="0" fillId="12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horizontal="left" vertical="center" wrapText="1"/>
    </x:xf>
    <x:xf numFmtId="0" fontId="2" fillId="7" borderId="0" xfId="0" applyNumberFormat="1" applyFont="1" applyFill="1" applyBorder="1" applyAlignment="1">
      <x:alignment horizontal="left" vertical="center" wrapText="1"/>
    </x:xf>
    <x:xf numFmtId="0" fontId="2" fillId="9" borderId="0" xfId="0" applyNumberFormat="1" applyFont="1" applyFill="1" applyBorder="1" applyAlignment="1">
      <x:alignment horizontal="left" vertical="center" wrapText="1"/>
    </x:xf>
    <x:xf numFmtId="0" fontId="3" fillId="5" borderId="0" xfId="0" applyNumberFormat="1" applyFont="1" applyFill="1" applyBorder="1" applyAlignment="1">
      <x:alignment wrapText="1"/>
    </x:xf>
    <x:xf numFmtId="204" fontId="3" fillId="6" borderId="0" xfId="0" applyNumberFormat="1" applyFont="1" applyFill="1" applyBorder="1" applyAlignment="1">
      <x:alignment horizontal="right" wrapText="1"/>
    </x:xf>
    <x:xf numFmtId="0" fontId="3" fillId="8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203" fontId="4" fillId="6" borderId="0" xfId="0" applyNumberFormat="1" applyFont="1" applyFill="1" applyBorder="1" applyAlignment="1">
      <x:alignment horizontal="center" wrapText="1"/>
    </x:xf>
    <x:xf numFmtId="206" fontId="4" fillId="6" borderId="0" xfId="0" applyNumberFormat="1" applyFont="1" applyFill="1" applyBorder="1" applyAlignment="1">
      <x:alignment horizontal="center" wrapText="1"/>
    </x:xf>
    <x:xf numFmtId="206" fontId="3" fillId="6" borderId="0" xfId="0" applyNumberFormat="1" applyFont="1" applyFill="1" applyBorder="1" applyAlignment="1">
      <x:alignment horizontal="right" wrapText="1"/>
    </x:xf>
    <x:xf numFmtId="203" fontId="3" fillId="6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6" borderId="0" xfId="0" applyNumberFormat="1" applyFont="1" applyFill="1" applyBorder="1" applyAlignment="1">
      <x:alignment horizontal="center" wrapText="1"/>
    </x:xf>
    <x:xf numFmtId="204" fontId="3" fillId="6" borderId="0" xfId="0" applyNumberFormat="1" applyFont="1" applyFill="1" applyBorder="1" applyAlignment="1">
      <x:alignment horizontal="center" wrapText="1"/>
    </x:xf>
    <x:xf numFmtId="203" fontId="3" fillId="6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203" fontId="0" fillId="5" borderId="0" xfId="0" applyNumberFormat="1" applyFont="1" applyFill="1" applyBorder="1"/>
    <x:xf numFmtId="203" fontId="0" fillId="5" borderId="0" xfId="0" applyNumberFormat="1" applyFont="1" applyFill="1" applyBorder="1" applyAlignment="1">
      <x:alignment wrapText="1"/>
    </x:xf>
    <x:xf numFmtId="204" fontId="0" fillId="5" borderId="0" xfId="0" applyNumberFormat="1" applyFont="1" applyFill="1" applyBorder="1"/>
    <x:xf numFmtId="204" fontId="0" fillId="5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9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 applyAlignment="1">
      <x:alignment wrapText="1"/>
    </x:xf>
    <x:xf numFmtId="0" fontId="2" fillId="18" borderId="0" xfId="0" applyNumberFormat="1" applyFont="1" applyFill="1" applyBorder="1" applyAlignment="1">
      <x:alignment horizontal="center" wrapText="1"/>
    </x:xf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horizontal="center" wrapText="1"/>
    </x:xf>
    <x:xf numFmtId="0" fontId="0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horizontal="center" wrapText="1"/>
    </x:xf>
    <x:xf numFmtId="0" fontId="4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horizontal="center" wrapText="1"/>
    </x:xf>
    <x:xf numFmtId="0" fontId="3" fillId="18" xfId="0" applyNumberFormat="1" applyFont="1" applyFill="1" applyBorder="0" applyAlignment="1">
      <x:alignment wrapText="1"/>
    </x:xf>
    <x:xf numFmtId="0" fontId="4" fillId="19" xfId="0" applyNumberFormat="1" applyFont="1" applyFill="1" applyBorder="0" applyAlignment="1">
      <x:alignment wrapText="1"/>
    </x:xf>
    <x:xf numFmtId="0" fontId="3" fillId="18" xfId="0" applyNumberFormat="1" applyFont="1" applyFill="1" applyBorder="0" applyAlignment="1">
      <x:alignment horizontal="center" wrapText="1"/>
    </x:xf>
    <x:xf numFmtId="0" fontId="3" fillId="19" xfId="0" applyNumberFormat="1" applyFont="1" applyFill="1" applyBorder="0" applyAlignment="1">
      <x:alignment horizontal="center" wrapText="1"/>
    </x:xf>
    <x:xf numFmtId="0" fontId="0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DC2626"/>
      </x:font>
      <x:fill>
        <x:patternFill>
          <x:bgColor rgb="FEE2E2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DC2626"/>
      </x:font>
      <x:fill>
        <x:patternFill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d98ed0c7c14986" /><Relationship Type="http://schemas.openxmlformats.org/officeDocument/2006/relationships/theme" Target="/xl/theme/theme1.xml" Id="Rae248e33929d46a6" /><Relationship Type="http://schemas.openxmlformats.org/officeDocument/2006/relationships/sharedStrings" Target="/xl/sharedStrings.xml" Id="Rb0a308b59b2e49c5" /><Relationship Type="http://schemas.openxmlformats.org/officeDocument/2006/relationships/worksheet" Target="/xl/worksheets/sheet1.xml" Id="R5e7ae2644b854d17" /><Relationship Type="http://schemas.openxmlformats.org/officeDocument/2006/relationships/worksheet" Target="/xl/worksheets/sheet2.xml" Id="Raa10e1e5f5554c44" /><Relationship Type="http://schemas.openxmlformats.org/officeDocument/2006/relationships/worksheet" Target="/xl/worksheets/sheet3.xml" Id="R8b53754b34114b1e" /><Relationship Type="http://schemas.openxmlformats.org/officeDocument/2006/relationships/worksheet" Target="/xl/worksheets/sheet4.xml" Id="Rcc182788720b4f0c" /><Relationship Type="http://schemas.openxmlformats.org/officeDocument/2006/relationships/worksheet" Target="/xl/worksheets/sheet5.xml" Id="Rd677cf7c491b4d71" /><Relationship Type="http://schemas.openxmlformats.org/officeDocument/2006/relationships/worksheet" Target="/xl/worksheets/sheet6.xml" Id="Rd9c8212aeb25447f" /><Relationship Type="http://schemas.openxmlformats.org/officeDocument/2006/relationships/worksheet" Target="/xl/worksheets/sheet7.xml" Id="R45e9189b8c5343c4" /><Relationship Type="http://schemas.openxmlformats.org/officeDocument/2006/relationships/worksheet" Target="/xl/worksheets/sheet8.xml" Id="R0c11421fd62a4464" /><Relationship Type="http://schemas.openxmlformats.org/officeDocument/2006/relationships/worksheet" Target="/xl/worksheets/sheet9.xml" Id="Rf8984894077240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0a1141b6b7d43e1" /><Relationship Type="http://schemas.openxmlformats.org/officeDocument/2006/relationships/chart" Target="/xl/drawings/charts/chart2.xml" Id="Rf80e99b08ade4aa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Ore assegnate per persona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Ore assegnate</c:v>
          </c:tx>
          <c:cat>
            <c:strRef>
              <c:f>'Dashboard'!$G$5:$G$7</c:f>
              <c:strCache>
                <c:ptCount val="0"/>
              </c:strCache>
            </c:strRef>
          </c:cat>
          <c:val>
            <c:numRef>
              <c:f>'Dashboard'!$H$5:$H$7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Margine per cliente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Tipo</c:v>
          </c:tx>
          <c:cat>
            <c:strRef>
              <c:f>'Dashboard'!$A$17:$A$18</c:f>
              <c:strCache>
                <c:ptCount val="0"/>
              </c:strCache>
            </c:strRef>
          </c:cat>
          <c:val>
            <c:numRef>
              <c:f>'Dashboard'!$B$17:$B$18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Canone</c:v>
          </c:tx>
          <c:cat>
            <c:strRef>
              <c:f>'Dashboard'!$A$17:$A$18</c:f>
              <c:strCache>
                <c:ptCount val="0"/>
              </c:strCache>
            </c:strRef>
          </c:cat>
          <c:val>
            <c:numRef>
              <c:f>'Dashboard'!$C$17:$C$18</c:f>
              <c:numCache>
                <c:formatCode>€ #,##0.00</c:formatCode>
                <c:ptCount val="0"/>
              </c:numCache>
            </c:numRef>
          </c:val>
        </c:ser>
        <c:ser>
          <c:idx val="2"/>
          <c:order val="2"/>
          <c:tx>
            <c:v>Ricavi margine</c:v>
          </c:tx>
          <c:cat>
            <c:strRef>
              <c:f>'Dashboard'!$A$17:$A$18</c:f>
              <c:strCache>
                <c:ptCount val="0"/>
              </c:strCache>
            </c:strRef>
          </c:cat>
          <c:val>
            <c:numRef>
              <c:f>'Dashboard'!$D$17:$D$18</c:f>
              <c:numCache>
                <c:formatCode>€ #,##0.00</c:formatCode>
                <c:ptCount val="0"/>
              </c:numCache>
            </c:numRef>
          </c:val>
        </c:ser>
        <c:ser>
          <c:idx val="3"/>
          <c:order val="3"/>
          <c:tx>
            <c:v>Costi diretti</c:v>
          </c:tx>
          <c:cat>
            <c:strRef>
              <c:f>'Dashboard'!$A$17:$A$18</c:f>
              <c:strCache>
                <c:ptCount val="0"/>
              </c:strCache>
            </c:strRef>
          </c:cat>
          <c:val>
            <c:numRef>
              <c:f>'Dashboard'!$E$17:$E$18</c:f>
              <c:numCache>
                <c:formatCode>€ #,##0.00</c:formatCode>
                <c:ptCount val="0"/>
              </c:numCache>
            </c:numRef>
          </c:val>
        </c:ser>
        <c:ser>
          <c:idx val="4"/>
          <c:order val="4"/>
          <c:tx>
            <c:v>Ore totali</c:v>
          </c:tx>
          <c:cat>
            <c:strRef>
              <c:f>'Dashboard'!$A$17:$A$18</c:f>
              <c:strCache>
                <c:ptCount val="0"/>
              </c:strCache>
            </c:strRef>
          </c:cat>
          <c:val>
            <c:numRef>
              <c:f>'Dashboard'!$F$17:$F$18</c:f>
              <c:numCache>
                <c:formatCode>0.00</c:formatCode>
                <c:ptCount val="0"/>
              </c:numCache>
            </c:numRef>
          </c:val>
        </c:ser>
        <c:ser>
          <c:idx val="5"/>
          <c:order val="5"/>
          <c:tx>
            <c:v>Prezzo minimo</c:v>
          </c:tx>
          <c:cat>
            <c:strRef>
              <c:f>'Dashboard'!$A$17:$A$18</c:f>
              <c:strCache>
                <c:ptCount val="0"/>
              </c:strCache>
            </c:strRef>
          </c:cat>
          <c:val>
            <c:numRef>
              <c:f>'Dashboard'!$G$17:$G$18</c:f>
              <c:numCache>
                <c:formatCode>€ #,##0.00</c:formatCode>
                <c:ptCount val="0"/>
              </c:numCache>
            </c:numRef>
          </c:val>
        </c:ser>
        <c:ser>
          <c:idx val="6"/>
          <c:order val="6"/>
          <c:tx>
            <c:v>Margine</c:v>
          </c:tx>
          <c:cat>
            <c:strRef>
              <c:f>'Dashboard'!$A$17:$A$18</c:f>
              <c:strCache>
                <c:ptCount val="0"/>
              </c:strCache>
            </c:strRef>
          </c:cat>
          <c:val>
            <c:numRef>
              <c:f>'Dashboard'!$H$17:$H$18</c:f>
              <c:numCache>
                <c:formatCode>€ 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2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a1141b6b7d43e1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17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0e99b08ade4aa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ttivitaTempiTable" displayName="AttivitaTempiTable" ref="A3:R44" headerRowCount="1">
  <x:tableColumns count="18">
    <x:tableColumn id="1" name="Cliente/Progetto"/>
    <x:tableColumn id="2" name="Fase operativa"/>
    <x:tableColumn id="3" name="Tipo attività"/>
    <x:tableColumn id="4" name="Attività"/>
    <x:tableColumn id="5" name="Responsabile attuale"/>
    <x:tableColumn id="6" name="Responsabile ideale"/>
    <x:tableColumn id="7" name="Priorità"/>
    <x:tableColumn id="8" name="Delegabilità"/>
    <x:tableColumn id="9" name="Inclusa nel canone?"/>
    <x:tableColumn id="10" name="Frequenza"/>
    <x:tableColumn id="11" name="Minuti per esecuzione"/>
    <x:tableColumn id="12" name="Volte/mese"/>
    <x:tableColumn id="13" name="Ore mensili dirette"/>
    <x:tableColumn id="14" name="Ore/mese calcolate"/>
    <x:tableColumn id="15" name="Costo orario stimato"/>
    <x:tableColumn id="16" name="Costo teorico"/>
    <x:tableColumn id="17" name="Link Notion"/>
    <x:tableColumn id="18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CostiToolTable" displayName="CostiToolTable" ref="A3:J19" headerRowCount="1">
  <x:tableColumns count="10">
    <x:tableColumn id="1" name="Voce"/>
    <x:tableColumn id="2" name="Categoria"/>
    <x:tableColumn id="3" name="Progetto/Cliente"/>
    <x:tableColumn id="4" name="Tipo costo"/>
    <x:tableColumn id="5" name="Frequenza"/>
    <x:tableColumn id="6" name="Importo"/>
    <x:tableColumn id="7" name="Mensilizzato"/>
    <x:tableColumn id="8" name="Incide sul margine?"/>
    <x:tableColumn id="9" name="Solo informativo?"/>
    <x:tableColumn id="10" name="Note"/>
  </x:tableColumns>
  <x:tableStyleInfo name="TableStyleMedium2" showRowStripes="1"/>
</x:table>
</file>

<file path=xl/tables/table3.xml><?xml version="1.0" encoding="utf-8"?>
<x:table xmlns:x="http://schemas.openxmlformats.org/spreadsheetml/2006/main" id="3" name="MarginiClientiTable" displayName="MarginiClientiTable" ref="A3:AG5" headerRowCount="1">
  <x:tableColumns count="33">
    <x:tableColumn id="1" name="Cliente/Progetto"/>
    <x:tableColumn id="2" name="Stato cliente"/>
    <x:tableColumn id="3" name="Tipo cliente"/>
    <x:tableColumn id="4" name="Motivo strategico"/>
    <x:tableColumn id="5" name="Servizio attivo"/>
    <x:tableColumn id="6" name="Canone mensile"/>
    <x:tableColumn id="7" name="Budget ads separato"/>
    <x:tableColumn id="8" name="Extra mensili"/>
    <x:tableColumn id="9" name="Extra una tantum"/>
    <x:tableColumn id="10" name="Variabile stimata"/>
    <x:tableColumn id="11" name="Ricavi per margine"/>
    <x:tableColumn id="12" name="Costi tool/diretti"/>
    <x:tableColumn id="13" name="Costo Jessica fisso"/>
    <x:tableColumn id="14" name="Extra Jessica"/>
    <x:tableColumn id="15" name="Altri costi diretti"/>
    <x:tableColumn id="16" name="Costi diretti totali"/>
    <x:tableColumn id="17" name="Ore Fabio"/>
    <x:tableColumn id="18" name="Ore Frego"/>
    <x:tableColumn id="19" name="Ore Jessica"/>
    <x:tableColumn id="20" name="Costo ore teorico"/>
    <x:tableColumn id="21" name="Margine target"/>
    <x:tableColumn id="22" name="Prezzo minimo consigliato"/>
    <x:tableColumn id="23" name="Margine cliente"/>
    <x:tableColumn id="24" name="Margine %"/>
    <x:tableColumn id="25" name="Alert"/>
    <x:tableColumn id="26" name="Quota Fabio lorda"/>
    <x:tableColumn id="27" name="Quota Frego lorda"/>
    <x:tableColumn id="28" name="INPS Fabio"/>
    <x:tableColumn id="29" name="Imposta Fabio"/>
    <x:tableColumn id="30" name="Netto Fabio"/>
    <x:tableColumn id="31" name="Valore ora netto Fabio"/>
    <x:tableColumn id="32" name="Netto Frego"/>
    <x:tableColumn id="33" name="Valore ora netto Frego"/>
  </x:tableColumns>
  <x:tableStyleInfo name="TableStyleMedium2" showRowStripes="1"/>
</x:table>
</file>

<file path=xl/tables/table4.xml><?xml version="1.0" encoding="utf-8"?>
<x:table xmlns:x="http://schemas.openxmlformats.org/spreadsheetml/2006/main" id="4" name="AcquisizioneMetricsTable" displayName="AcquisizioneMetricsTable" ref="A3:L6" headerRowCount="1">
  <x:tableColumns count="12">
    <x:tableColumn id="1" name="Periodo"/>
    <x:tableColumn id="2" name="Proposte inviate"/>
    <x:tableColumn id="3" name="Clienti chiusi"/>
    <x:tableColumn id="4" name="Costo Jessica acquisizione"/>
    <x:tableColumn id="5" name="Ore call vendita Fabio"/>
    <x:tableColumn id="6" name="Valore orario Fabio"/>
    <x:tableColumn id="7" name="Costo tempo vendita Fabio"/>
    <x:tableColumn id="8" name="Altri costi acquisizione"/>
    <x:tableColumn id="9" name="Valore primo contratto"/>
    <x:tableColumn id="10" name="Costo acquisizione cliente"/>
    <x:tableColumn id="11" name="Margine primo contratto"/>
    <x:tableColumn id="12" name="Note"/>
  </x:tableColumns>
  <x:tableStyleInfo name="TableStyleMedium2" showRowStripes="1"/>
</x:table>
</file>

<file path=xl/tables/table5.xml><?xml version="1.0" encoding="utf-8"?>
<x:table xmlns:x="http://schemas.openxmlformats.org/spreadsheetml/2006/main" id="5" name="RinnovoTable" displayName="RinnovoTable" ref="A3:M5" headerRowCount="1">
  <x:tableColumns count="13">
    <x:tableColumn id="1" name="Cliente"/>
    <x:tableColumn id="2" name="Prezzo attuale"/>
    <x:tableColumn id="3" name="Prezzo minimo consigliato"/>
    <x:tableColumn id="4" name="Nuovo prezzo proposto"/>
    <x:tableColumn id="5" name="Aumento suggerito"/>
    <x:tableColumn id="6" name="Margine attuale"/>
    <x:tableColumn id="7" name="Margine dopo rinnovo"/>
    <x:tableColumn id="8" name="Ore attuali"/>
    <x:tableColumn id="9" name="Ore dopo delega"/>
    <x:tableColumn id="10" name="Motivazione aumento"/>
    <x:tableColumn id="11" name="Stato rinnovo"/>
    <x:tableColumn id="12" name="Note trattativa"/>
    <x:tableColumn id="13" name="Link No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a9334c47b234a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14ee770f8743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afcb7163354e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dd2c1714f948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5a495b29384a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ab3b405a454e2d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219" t="str">
        <x:v>Dashboard Metrics — tempi, margini, carico e sostenibilità</x:v>
      </x:c>
      <x:c r="B1" s="219" t="str"/>
      <x:c r="C1" s="219" t="str"/>
      <x:c r="D1" s="219" t="str"/>
      <x:c r="E1" s="219" t="str"/>
      <x:c r="F1" s="219" t="str"/>
      <x:c r="G1" s="219" t="str"/>
      <x:c r="H1" s="219" t="str"/>
      <x:c r="I1" s="219" t="str"/>
      <x:c r="J1" s="219" t="str"/>
      <x:c r="K1" s="219" t="str"/>
      <x:c r="L1" s="219" t="str"/>
      <x:c r="M1" s="159"/>
      <x:c r="N1" s="159"/>
      <x:c r="O1" s="159"/>
      <x:c r="P1" s="159"/>
      <x:c r="Q1" s="159"/>
      <x:c r="R1" s="159"/>
      <x:c r="S1" s="159"/>
      <x:c r="T1" s="159"/>
      <x:c r="U1" s="159"/>
      <x:c r="V1" s="159"/>
      <x:c r="W1" s="159"/>
      <x:c r="X1" s="159"/>
      <x:c r="Y1" s="159"/>
      <x:c r="Z1" s="159"/>
      <x:c r="AA1" s="39"/>
      <x:c r="AB1" s="39"/>
      <x:c r="AC1" s="39"/>
      <x:c r="AD1" s="39"/>
      <x:c r="AE1" s="39"/>
      <x:c r="AF1" s="39"/>
      <x:c r="AG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</x:row>
    <x:row r="3" ht="22" customHeight="1">
      <x:c r="A3" s="220" t="str">
        <x:v>Margine clienti</x:v>
      </x:c>
      <x:c r="B3" s="39"/>
      <x:c r="C3" s="39"/>
      <x:c r="D3" s="221" t="str">
        <x:v>Split 50/50 e netto stimato</x:v>
      </x:c>
      <x:c r="E3" s="39"/>
      <x:c r="F3" s="39"/>
      <x:c r="G3" s="222" t="str">
        <x:v>Saturazione persone</x:v>
      </x:c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  <x:c r="AA3" s="39"/>
      <x:c r="AB3" s="39"/>
      <x:c r="AC3" s="39"/>
      <x:c r="AD3" s="39"/>
      <x:c r="AE3" s="39"/>
      <x:c r="AF3" s="39"/>
      <x:c r="AG3" s="39"/>
    </x:row>
    <x:row r="4" ht="28" customHeight="1">
      <x:c r="A4" s="223" t="str">
        <x:v>Ricavi clienti attivi</x:v>
      </x:c>
      <x:c r="B4" s="224" t="n">
        <x:f>SUMIFS('Margini Clienti'!$K:$K,'Margini Clienti'!$B:$B,"Attivo")</x:f>
        <x:v>2200</x:v>
      </x:c>
      <x:c r="C4" s="39"/>
      <x:c r="D4" s="225" t="str">
        <x:v>Quota Fabio lorda</x:v>
      </x:c>
      <x:c r="E4" s="224" t="n">
        <x:f>SUMIFS('Margini Clienti'!$Z:$Z,'Margini Clienti'!$B:$B,"Attivo")</x:f>
        <x:v>972.29</x:v>
      </x:c>
      <x:c r="F4" s="39"/>
      <x:c r="G4" s="108" t="str">
        <x:v>Persona</x:v>
      </x:c>
      <x:c r="H4" s="108" t="str">
        <x:v>Ore assegnate</x:v>
      </x:c>
      <x:c r="I4" s="108" t="str">
        <x:v>Capacità max</x:v>
      </x:c>
      <x:c r="J4" s="108" t="str">
        <x:v>Saturazione</x:v>
      </x:c>
      <x:c r="K4" s="108" t="str">
        <x:v>Alert</x:v>
      </x:c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  <x:c r="AA4" s="39"/>
      <x:c r="AB4" s="39"/>
      <x:c r="AC4" s="39"/>
      <x:c r="AD4" s="39"/>
      <x:c r="AE4" s="39"/>
      <x:c r="AF4" s="39"/>
      <x:c r="AG4" s="39"/>
    </x:row>
    <x:row r="5">
      <x:c r="A5" s="223" t="str">
        <x:v>Budget ads gestito (fuori margine)</x:v>
      </x:c>
      <x:c r="B5" s="224" t="n">
        <x:f>SUMIFS('Margini Clienti'!$G:$G,'Margini Clienti'!$B:$B,"Attivo")</x:f>
        <x:v>500</x:v>
      </x:c>
      <x:c r="C5" s="39"/>
      <x:c r="D5" s="225" t="str">
        <x:v>Quota Frego lorda</x:v>
      </x:c>
      <x:c r="E5" s="224" t="n">
        <x:f>SUMIFS('Margini Clienti'!$AA:$AA,'Margini Clienti'!$B:$B,"Attivo")</x:f>
        <x:v>972.29</x:v>
      </x:c>
      <x:c r="F5" s="39"/>
      <x:c r="G5" s="226" t="str">
        <x:v>Fabio</x:v>
      </x:c>
      <x:c r="H5" s="227" t="n">
        <x:f>SUMIFS('Attività &amp; Tempi'!$N:$N,'Attività &amp; Tempi'!$E:$E,G5)</x:f>
        <x:v>130.16666666666666</x:v>
      </x:c>
      <x:c r="I5" s="227" t="n">
        <x:f>Impostazioni!$B$12</x:f>
        <x:v>100</x:v>
      </x:c>
      <x:c r="J5" s="228" t="n">
        <x:f>IF(I5=0,0,H5/I5)</x:f>
        <x:v>1.3016666666666665</x:v>
      </x:c>
      <x:c r="K5" s="226" t="str">
        <x:f>IF(J5&gt;0.9,"Sovraccarico",IF(J5&gt;0.7,"Attenzione","Sostenibile"))</x:f>
        <x:v>Sovraccarico</x:v>
      </x:c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  <x:c r="AA5" s="39"/>
      <x:c r="AB5" s="39"/>
      <x:c r="AC5" s="39"/>
      <x:c r="AD5" s="39"/>
      <x:c r="AE5" s="39"/>
      <x:c r="AF5" s="39"/>
      <x:c r="AG5" s="39"/>
    </x:row>
    <x:row r="6">
      <x:c r="A6" s="223" t="str">
        <x:v>Costi diretti clienti</x:v>
      </x:c>
      <x:c r="B6" s="224" t="n">
        <x:f>SUMIFS('Margini Clienti'!$P:$P,'Margini Clienti'!$B:$B,"Attivo")</x:f>
        <x:v>255.42</x:v>
      </x:c>
      <x:c r="C6" s="39"/>
      <x:c r="D6" s="225" t="str">
        <x:v>Netto Fabio stimato</x:v>
      </x:c>
      <x:c r="E6" s="224" t="n">
        <x:f>SUMIFS('Margini Clienti'!$AD:$AD,'Margini Clienti'!$B:$B,"Attivo")</x:f>
        <x:v>746.544971777</x:v>
      </x:c>
      <x:c r="F6" s="39"/>
      <x:c r="G6" s="226" t="str">
        <x:v>Frego</x:v>
      </x:c>
      <x:c r="H6" s="227" t="n">
        <x:f>SUMIFS('Attività &amp; Tempi'!$N:$N,'Attività &amp; Tempi'!$E:$E,G6)</x:f>
        <x:v>16</x:v>
      </x:c>
      <x:c r="I6" s="227" t="n">
        <x:f>Impostazioni!$B$13</x:f>
        <x:v>60</x:v>
      </x:c>
      <x:c r="J6" s="228" t="n">
        <x:f>IF(I6=0,0,H6/I6)</x:f>
        <x:v>0.26666666666666666</x:v>
      </x:c>
      <x:c r="K6" s="226" t="str">
        <x:f>IF(J6&gt;0.9,"Sovraccarico",IF(J6&gt;0.7,"Attenzione","Sostenibile"))</x:f>
        <x:v>Sostenibile</x:v>
      </x:c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  <x:c r="AA6" s="39"/>
      <x:c r="AB6" s="39"/>
      <x:c r="AC6" s="39"/>
      <x:c r="AD6" s="39"/>
      <x:c r="AE6" s="39"/>
      <x:c r="AF6" s="39"/>
      <x:c r="AG6" s="39"/>
    </x:row>
    <x:row r="7">
      <x:c r="A7" s="223" t="str">
        <x:v>Margine clienti</x:v>
      </x:c>
      <x:c r="B7" s="224" t="n">
        <x:f>SUMIFS('Margini Clienti'!$W:$W,'Margini Clienti'!$B:$B,"Attivo")</x:f>
        <x:v>1944.58</x:v>
      </x:c>
      <x:c r="C7" s="39"/>
      <x:c r="D7" s="225" t="str">
        <x:v>Netto Frego stimato</x:v>
      </x:c>
      <x:c r="E7" s="224" t="n">
        <x:f>SUMIFS('Margini Clienti'!$AF:$AF,'Margini Clienti'!$B:$B,"Attivo")</x:f>
        <x:v>746.544971777</x:v>
      </x:c>
      <x:c r="F7" s="39"/>
      <x:c r="G7" s="226" t="str">
        <x:v>Jessica</x:v>
      </x:c>
      <x:c r="H7" s="227" t="n">
        <x:f>SUMIFS('Attività &amp; Tempi'!$N:$N,'Attività &amp; Tempi'!$E:$E,G7)</x:f>
        <x:v>26</x:v>
      </x:c>
      <x:c r="I7" s="227" t="n">
        <x:f>Impostazioni!$B$14</x:f>
        <x:v>40</x:v>
      </x:c>
      <x:c r="J7" s="228" t="n">
        <x:f>IF(I7=0,0,H7/I7)</x:f>
        <x:v>0.65</x:v>
      </x:c>
      <x:c r="K7" s="226" t="str">
        <x:f>IF(J7&gt;0.9,"Sovraccarico",IF(J7&gt;0.7,"Attenzione","Sostenibile"))</x:f>
        <x:v>Sostenibile</x:v>
      </x:c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  <x:c r="AA7" s="39"/>
      <x:c r="AB7" s="39"/>
      <x:c r="AC7" s="39"/>
      <x:c r="AD7" s="39"/>
      <x:c r="AE7" s="39"/>
      <x:c r="AF7" s="39"/>
      <x:c r="AG7" s="39"/>
    </x:row>
    <x:row r="8">
      <x:c r="A8" s="223" t="str">
        <x:v>Margine clienti %</x:v>
      </x:c>
      <x:c r="B8" s="229" t="n">
        <x:f>IF(B4=0,0,B7/B4)</x:f>
        <x:v>0.8839</x:v>
      </x:c>
      <x:c r="C8" s="39"/>
      <x:c r="D8" s="225" t="str">
        <x:v>Ore Fabio</x:v>
      </x:c>
      <x:c r="E8" s="230" t="n">
        <x:f>SUMIFS('Attività &amp; Tempi'!$N:$N,'Attività &amp; Tempi'!$E:$E,"Fabio")</x:f>
        <x:v>130.16666666666666</x:v>
      </x:c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  <x:c r="AA8" s="39"/>
      <x:c r="AB8" s="39"/>
      <x:c r="AC8" s="39"/>
      <x:c r="AD8" s="39"/>
      <x:c r="AE8" s="39"/>
      <x:c r="AF8" s="39"/>
      <x:c r="AG8" s="39"/>
    </x:row>
    <x:row r="9">
      <x:c r="A9" s="223" t="str">
        <x:v>Costi infrastruttura incidenti</x:v>
      </x:c>
      <x:c r="B9" s="224" t="n">
        <x:f>SUMIFS('Costi &amp; Tool'!$G:$G,'Costi &amp; Tool'!$D:$D,"Infrastruttura",'Costi &amp; Tool'!$H:$H,"Sì")</x:f>
        <x:v>0</x:v>
      </x:c>
      <x:c r="C9" s="39"/>
      <x:c r="D9" s="225" t="str">
        <x:v>Ore Frego</x:v>
      </x:c>
      <x:c r="E9" s="230" t="n">
        <x:f>SUMIFS('Attività &amp; Tempi'!$N:$N,'Attività &amp; Tempi'!$E:$E,"Frego")</x:f>
        <x:v>16</x:v>
      </x:c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  <x:c r="AA9" s="39"/>
      <x:c r="AB9" s="39"/>
      <x:c r="AC9" s="39"/>
      <x:c r="AD9" s="39"/>
      <x:c r="AE9" s="39"/>
      <x:c r="AF9" s="39"/>
      <x:c r="AG9" s="39"/>
    </x:row>
    <x:row r="10">
      <x:c r="A10" s="223" t="str">
        <x:v>Margine Metrics complessivo</x:v>
      </x:c>
      <x:c r="B10" s="224" t="n">
        <x:f>B7-B9</x:f>
        <x:v>1944.58</x:v>
      </x:c>
      <x:c r="C10" s="39"/>
      <x:c r="D10" s="225" t="str">
        <x:v>Valore ora netto Fabio</x:v>
      </x:c>
      <x:c r="E10" s="224" t="n">
        <x:f>IF(E8=0,0,E6/E8)</x:f>
        <x:v>5.735300679464789</x:v>
      </x:c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  <x:c r="AA10" s="39"/>
      <x:c r="AB10" s="39"/>
      <x:c r="AC10" s="39"/>
      <x:c r="AD10" s="39"/>
      <x:c r="AE10" s="39"/>
      <x:c r="AF10" s="39"/>
      <x:c r="AG10" s="39"/>
    </x:row>
    <x:row r="11">
      <x:c r="A11" s="223" t="str">
        <x:v>Costi personali Fabio ricorrenti (info)</x:v>
      </x:c>
      <x:c r="B11" s="224" t="n">
        <x:f>SUMIFS('Costi &amp; Tool'!$G:$G,'Costi &amp; Tool'!$B:$B,"Costi personali Fabio")</x:f>
        <x:v>130</x:v>
      </x:c>
      <x:c r="C11" s="39"/>
      <x:c r="D11" s="225" t="str">
        <x:v>Valore ora netto Frego</x:v>
      </x:c>
      <x:c r="E11" s="224" t="n">
        <x:f>IF(E9=0,0,E7/E9)</x:f>
        <x:v>46.6590607360625</x:v>
      </x:c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  <x:c r="AB11" s="39"/>
      <x:c r="AC11" s="39"/>
      <x:c r="AD11" s="39"/>
      <x:c r="AE11" s="39"/>
      <x:c r="AF11" s="39"/>
      <x:c r="AG11" s="39"/>
    </x:row>
    <x:row r="12">
      <x:c r="A12" s="223" t="str">
        <x:v>Costi personali Fabio una tantum (info)</x:v>
      </x:c>
      <x:c r="B12" s="224" t="n">
        <x:f>SUMIFS('Costi &amp; Tool'!$F:$F,'Costi &amp; Tool'!$B:$B,"Costi personali Fabio",'Costi &amp; Tool'!$E:$E,"Lifetime")</x:f>
        <x:v>69</x:v>
      </x:c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  <x:c r="AA12" s="39"/>
      <x:c r="AB12" s="39"/>
      <x:c r="AC12" s="39"/>
      <x:c r="AD12" s="39"/>
      <x:c r="AE12" s="39"/>
      <x:c r="AF12" s="39"/>
      <x:c r="AG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  <x:c r="AA13" s="39"/>
      <x:c r="AB13" s="39"/>
      <x:c r="AC13" s="39"/>
      <x:c r="AD13" s="39"/>
      <x:c r="AE13" s="39"/>
      <x:c r="AF13" s="39"/>
      <x:c r="AG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  <x:c r="AA14" s="39"/>
      <x:c r="AB14" s="39"/>
      <x:c r="AC14" s="39"/>
      <x:c r="AD14" s="39"/>
      <x:c r="AE14" s="39"/>
      <x:c r="AF14" s="39"/>
      <x:c r="AG14" s="39"/>
    </x:row>
    <x:row r="15" ht="22" customHeight="1">
      <x:c r="A15" s="231" t="str">
        <x:v>Clienti / Progetti — sintesi economica</x:v>
      </x:c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  <x:c r="AA15" s="39"/>
      <x:c r="AB15" s="39"/>
      <x:c r="AC15" s="39"/>
      <x:c r="AD15" s="39"/>
      <x:c r="AE15" s="39"/>
      <x:c r="AF15" s="39"/>
      <x:c r="AG15" s="39"/>
    </x:row>
    <x:row r="16" ht="32" customHeight="1">
      <x:c r="A16" s="31" t="str">
        <x:v>Cliente</x:v>
      </x:c>
      <x:c r="B16" s="31" t="str">
        <x:v>Tipo</x:v>
      </x:c>
      <x:c r="C16" s="31" t="str">
        <x:v>Canone</x:v>
      </x:c>
      <x:c r="D16" s="31" t="str">
        <x:v>Ricavi margine</x:v>
      </x:c>
      <x:c r="E16" s="31" t="str">
        <x:v>Costi diretti</x:v>
      </x:c>
      <x:c r="F16" s="31" t="str">
        <x:v>Ore totali</x:v>
      </x:c>
      <x:c r="G16" s="31" t="str">
        <x:v>Prezzo minimo</x:v>
      </x:c>
      <x:c r="H16" s="31" t="str">
        <x:v>Margine</x:v>
      </x:c>
      <x:c r="I16" s="31" t="str">
        <x:v>Margine %</x:v>
      </x:c>
      <x:c r="J16" s="31" t="str">
        <x:v>Alert</x:v>
      </x:c>
      <x:c r="K16" s="31" t="str">
        <x:v>Motivo strategico</x:v>
      </x:c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  <x:c r="AA16" s="39"/>
      <x:c r="AB16" s="39"/>
      <x:c r="AC16" s="39"/>
      <x:c r="AD16" s="39"/>
      <x:c r="AE16" s="39"/>
      <x:c r="AF16" s="39"/>
      <x:c r="AG16" s="39"/>
    </x:row>
    <x:row r="17" ht="32" customHeight="1">
      <x:c r="A17" s="131" t="str">
        <x:f>'Margini Clienti'!A4</x:f>
        <x:v>Startupdata</x:v>
      </x:c>
      <x:c r="B17" s="131" t="str">
        <x:f>'Margini Clienti'!C4</x:f>
        <x:v>Strategico / caso studio</x:v>
      </x:c>
      <x:c r="C17" s="132" t="n">
        <x:f>'Margini Clienti'!F4</x:f>
        <x:v>1500</x:v>
      </x:c>
      <x:c r="D17" s="132" t="n">
        <x:f>'Margini Clienti'!K4</x:f>
        <x:v>1500</x:v>
      </x:c>
      <x:c r="E17" s="132" t="n">
        <x:f>'Margini Clienti'!P4</x:f>
        <x:v>245</x:v>
      </x:c>
      <x:c r="F17" s="133" t="n">
        <x:f>'Margini Clienti'!Q4+'Margini Clienti'!R4+'Margini Clienti'!S4</x:f>
        <x:v>84</x:v>
      </x:c>
      <x:c r="G17" s="132" t="n">
        <x:f>'Margini Clienti'!V4</x:f>
        <x:v>4275</x:v>
      </x:c>
      <x:c r="H17" s="132" t="n">
        <x:f>'Margini Clienti'!W4</x:f>
        <x:v>1255</x:v>
      </x:c>
      <x:c r="I17" s="134" t="n">
        <x:f>'Margini Clienti'!X4</x:f>
        <x:v>0.8366666666666667</x:v>
      </x:c>
      <x:c r="J17" s="131" t="str">
        <x:f>'Margini Clienti'!Y4</x:f>
        <x:v>Strategico ma sottoprezzato</x:v>
      </x:c>
      <x:c r="K17" s="131" t="str">
        <x:f>'Margini Clienti'!D4</x:f>
        <x:v>Validazione servizio + caso studio</x:v>
      </x:c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  <x:c r="AA17" s="39"/>
      <x:c r="AB17" s="39"/>
      <x:c r="AC17" s="39"/>
      <x:c r="AD17" s="39"/>
      <x:c r="AE17" s="39"/>
      <x:c r="AF17" s="39"/>
      <x:c r="AG17" s="39"/>
    </x:row>
    <x:row r="18" ht="32" customHeight="1">
      <x:c r="A18" s="131" t="str">
        <x:f>'Margini Clienti'!A5</x:f>
        <x:v>Mirko / Evolution</x:v>
      </x:c>
      <x:c r="B18" s="131" t="str">
        <x:f>'Margini Clienti'!C5</x:f>
        <x:v>Strategico / caso studio</x:v>
      </x:c>
      <x:c r="C18" s="132" t="n">
        <x:f>'Margini Clienti'!F5</x:f>
        <x:v>700</x:v>
      </x:c>
      <x:c r="D18" s="132" t="n">
        <x:f>'Margini Clienti'!K5</x:f>
        <x:v>700</x:v>
      </x:c>
      <x:c r="E18" s="132" t="n">
        <x:f>'Margini Clienti'!P5</x:f>
        <x:v>10.42</x:v>
      </x:c>
      <x:c r="F18" s="133" t="n">
        <x:f>'Margini Clienti'!Q5+'Margini Clienti'!R5+'Margini Clienti'!S5</x:f>
        <x:v>68.16666666666667</x:v>
      </x:c>
      <x:c r="G18" s="132" t="n">
        <x:f>'Margini Clienti'!V5</x:f>
        <x:v>4562</x:v>
      </x:c>
      <x:c r="H18" s="132" t="n">
        <x:f>'Margini Clienti'!W5</x:f>
        <x:v>689.58</x:v>
      </x:c>
      <x:c r="I18" s="134" t="n">
        <x:f>'Margini Clienti'!X5</x:f>
        <x:v>0.9851142857142857</x:v>
      </x:c>
      <x:c r="J18" s="131" t="str">
        <x:f>'Margini Clienti'!Y5</x:f>
        <x:v>Strategico ma sottoprezzato</x:v>
      </x:c>
      <x:c r="K18" s="131" t="str">
        <x:f>'Margini Clienti'!D5</x:f>
        <x:v>Validazione multicanale + relazione importante</x:v>
      </x:c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  <x:c r="AA18" s="39"/>
      <x:c r="AB18" s="39"/>
      <x:c r="AC18" s="39"/>
      <x:c r="AD18" s="39"/>
      <x:c r="AE18" s="39"/>
      <x:c r="AF18" s="39"/>
      <x:c r="AG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  <x:c r="AA19" s="39"/>
      <x:c r="AB19" s="39"/>
      <x:c r="AC19" s="39"/>
      <x:c r="AD19" s="39"/>
      <x:c r="AE19" s="39"/>
      <x:c r="AF19" s="39"/>
      <x:c r="AG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  <x:c r="AA20" s="39"/>
      <x:c r="AB20" s="39"/>
      <x:c r="AC20" s="39"/>
      <x:c r="AD20" s="39"/>
      <x:c r="AE20" s="39"/>
      <x:c r="AF20" s="39"/>
      <x:c r="AG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  <x:c r="AA21" s="39"/>
      <x:c r="AB21" s="39"/>
      <x:c r="AC21" s="39"/>
      <x:c r="AD21" s="39"/>
      <x:c r="AE21" s="39"/>
      <x:c r="AF21" s="39"/>
      <x:c r="AG21" s="39"/>
    </x:row>
    <x:row r="22" ht="22" customHeight="1">
      <x:c r="A22" s="221" t="str">
        <x:v>Acquisizione Metrics — sintesi</x:v>
      </x:c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  <x:c r="AA22" s="39"/>
      <x:c r="AB22" s="39"/>
      <x:c r="AC22" s="39"/>
      <x:c r="AD22" s="39"/>
      <x:c r="AE22" s="39"/>
      <x:c r="AF22" s="39"/>
      <x:c r="AG22" s="39"/>
    </x:row>
    <x:row r="23" ht="28" customHeight="1">
      <x:c r="A23" s="142" t="str">
        <x:v>Proposte inviate</x:v>
      </x:c>
      <x:c r="B23" s="142" t="str">
        <x:v>Clienti chiusi</x:v>
      </x:c>
      <x:c r="C23" s="142" t="str">
        <x:v>Costo Jessica</x:v>
      </x:c>
      <x:c r="D23" s="142" t="str">
        <x:v>Ore vendita Fabio</x:v>
      </x:c>
      <x:c r="E23" s="142" t="str">
        <x:v>Costo acquisizione</x:v>
      </x:c>
      <x:c r="F23" s="142" t="str">
        <x:v>Valore primo contratto</x:v>
      </x:c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  <x:c r="AA23" s="39"/>
      <x:c r="AB23" s="39"/>
      <x:c r="AC23" s="39"/>
      <x:c r="AD23" s="39"/>
      <x:c r="AE23" s="39"/>
      <x:c r="AF23" s="39"/>
      <x:c r="AG23" s="39"/>
    </x:row>
    <x:row r="24" ht="28" customHeight="1">
      <x:c r="A24" s="232" t="n">
        <x:f>SUM('Acquisizione Metrics'!B4:B100)</x:f>
        <x:v>0</x:v>
      </x:c>
      <x:c r="B24" s="232" t="n">
        <x:f>SUM('Acquisizione Metrics'!C4:C100)</x:f>
        <x:v>0</x:v>
      </x:c>
      <x:c r="C24" s="233" t="n">
        <x:f>SUM('Acquisizione Metrics'!D4:D100)</x:f>
        <x:v>0</x:v>
      </x:c>
      <x:c r="D24" s="234" t="n">
        <x:f>SUM('Acquisizione Metrics'!E4:E100)</x:f>
        <x:v>5</x:v>
      </x:c>
      <x:c r="E24" s="233" t="n">
        <x:f>SUM('Acquisizione Metrics'!J4:J100)</x:f>
        <x:v>200</x:v>
      </x:c>
      <x:c r="F24" s="233" t="n">
        <x:f>SUM('Acquisizione Metrics'!I4:I100)</x:f>
        <x:v>0</x:v>
      </x:c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  <x:c r="AA24" s="39"/>
      <x:c r="AB24" s="39"/>
      <x:c r="AC24" s="39"/>
      <x:c r="AD24" s="39"/>
      <x:c r="AE24" s="39"/>
      <x:c r="AF24" s="39"/>
      <x:c r="AG24" s="39"/>
    </x:row>
    <x:row r="25">
      <x:c r="A25" s="218" t="str">
        <x:v>Nota uso file</x:v>
      </x:c>
      <x:c r="B25" s="218" t="str">
        <x:v>I campi manuali sono evidenziati in giallo nei fogli operativi. Le celle azzurre sono formule. Questo file non sostituisce Notion: serve per tempi, costi, margini, carico e rinnovi.</x:v>
      </x:c>
      <x:c r="C25" s="218" t="str"/>
      <x:c r="D25" s="218" t="str"/>
      <x:c r="E25" s="218" t="str"/>
      <x:c r="F25" s="218" t="str"/>
      <x:c r="G25" s="218" t="str"/>
      <x:c r="H25" s="218" t="str"/>
      <x:c r="I25" s="218" t="str"/>
      <x:c r="J25" s="218" t="str"/>
      <x:c r="K25" s="218" t="str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  <x:c r="AA25" s="39"/>
      <x:c r="AB25" s="39"/>
      <x:c r="AC25" s="39"/>
      <x:c r="AD25" s="39"/>
      <x:c r="AE25" s="39"/>
      <x:c r="AF25" s="39"/>
      <x:c r="AG25" s="39"/>
    </x:row>
    <x:row r="26">
      <x:c r="A26" s="199" t="str">
        <x:v>Costi personali Fabio</x:v>
      </x:c>
      <x:c r="B26" s="199" t="str">
        <x:v>Sono solo informativi e non modificano margine né split 50/50.</x:v>
      </x:c>
      <x:c r="C26" s="199" t="str"/>
      <x:c r="D26" s="199" t="str"/>
      <x:c r="E26" s="199" t="str"/>
      <x:c r="F26" s="199" t="str"/>
      <x:c r="G26" s="199" t="str"/>
      <x:c r="H26" s="199" t="str"/>
      <x:c r="I26" s="199" t="str"/>
      <x:c r="J26" s="199" t="str"/>
      <x:c r="K26" s="199" t="str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  <x:c r="AA26" s="39"/>
      <x:c r="AB26" s="39"/>
      <x:c r="AC26" s="39"/>
      <x:c r="AD26" s="39"/>
      <x:c r="AE26" s="39"/>
      <x:c r="AF26" s="39"/>
      <x:c r="AG26" s="39"/>
    </x:row>
    <x:row r="27">
      <x:c r="A27" s="199" t="str">
        <x:v>Legenda colori</x:v>
      </x:c>
      <x:c r="B27" s="197" t="str">
        <x:v>Giallo = input manuale</x:v>
      </x:c>
      <x:c r="C27" s="198" t="str">
        <x:v>Azzurro = formula</x:v>
      </x:c>
      <x:c r="D27" s="199" t="str">
        <x:v>Grigio = informativo</x:v>
      </x:c>
      <x:c r="E27" s="199" t="str"/>
      <x:c r="F27" s="199" t="str"/>
      <x:c r="G27" s="199" t="str"/>
      <x:c r="H27" s="199" t="str"/>
      <x:c r="I27" s="199" t="str"/>
      <x:c r="J27" s="199" t="str"/>
      <x:c r="K27" s="199" t="str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  <x:c r="AA27" s="39"/>
      <x:c r="AB27" s="39"/>
      <x:c r="AC27" s="39"/>
      <x:c r="AD27" s="39"/>
      <x:c r="AE27" s="39"/>
      <x:c r="AF27" s="39"/>
      <x:c r="AG27" s="39"/>
    </x:row>
    <x:row r="28">
      <x:c r="A28" s="39" t="str"/>
      <x:c r="B28" s="39" t="str"/>
      <x:c r="C28" s="39" t="str"/>
      <x:c r="D28" s="39" t="str"/>
      <x:c r="E28" s="39" t="str"/>
      <x:c r="F28" s="39" t="str"/>
      <x:c r="G28" s="39" t="str"/>
      <x:c r="H28" s="39" t="str"/>
      <x:c r="I28" s="39" t="str"/>
      <x:c r="J28" s="39" t="str"/>
      <x:c r="K28" s="39" t="str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  <x:c r="AA28" s="39"/>
      <x:c r="AB28" s="39"/>
      <x:c r="AC28" s="39"/>
      <x:c r="AD28" s="39"/>
      <x:c r="AE28" s="39"/>
      <x:c r="AF28" s="39"/>
      <x:c r="AG28" s="39"/>
    </x:row>
    <x:row r="29">
      <x:c r="A29" s="256" t="str">
        <x:v>Versione Google Sheets safe: campi manuali in giallo, formule in azzurro. La formattazione condizionale è stata rimossa per evitare avvisi in modifica.</x:v>
      </x:c>
      <x:c r="B29" s="256" t="str"/>
      <x:c r="C29" s="256" t="str"/>
      <x:c r="D29" s="256" t="str"/>
      <x:c r="E29" s="256" t="str"/>
      <x:c r="F29" s="256" t="str"/>
      <x:c r="G29" s="256" t="str"/>
      <x:c r="H29" s="256" t="str"/>
      <x:c r="I29" s="256" t="str"/>
      <x:c r="J29" s="256" t="str"/>
      <x:c r="K29" s="256" t="str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  <x:c r="AA29" s="39"/>
      <x:c r="AB29" s="39"/>
      <x:c r="AC29" s="39"/>
      <x:c r="AD29" s="39"/>
      <x:c r="AE29" s="39"/>
      <x:c r="AF29" s="39"/>
      <x:c r="AG29" s="39"/>
    </x:row>
    <x:row r="30">
      <x:c r="A30" s="39" t="str"/>
      <x:c r="B30" s="39" t="str"/>
      <x:c r="C30" s="39" t="str"/>
      <x:c r="D30" s="39" t="str"/>
      <x:c r="E30" s="39" t="str"/>
      <x:c r="F30" s="39" t="str"/>
      <x:c r="G30" s="39" t="str"/>
      <x:c r="H30" s="39" t="str"/>
      <x:c r="I30" s="39" t="str"/>
      <x:c r="J30" s="39" t="str"/>
      <x:c r="K30" s="39" t="str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  <x:c r="AA30" s="39"/>
      <x:c r="AB30" s="39"/>
      <x:c r="AC30" s="39"/>
      <x:c r="AD30" s="39"/>
      <x:c r="AE30" s="39"/>
      <x:c r="AF30" s="39"/>
      <x:c r="AG30" s="39"/>
    </x:row>
    <x:row r="31">
      <x:c r="A31" s="39" t="str"/>
      <x:c r="B31" s="39" t="str"/>
      <x:c r="C31" s="39" t="str"/>
      <x:c r="D31" s="39" t="str"/>
      <x:c r="E31" s="39" t="str"/>
      <x:c r="F31" s="39" t="str"/>
      <x:c r="G31" s="39" t="str"/>
      <x:c r="H31" s="39" t="str"/>
      <x:c r="I31" s="39" t="str"/>
      <x:c r="J31" s="39" t="str"/>
      <x:c r="K31" s="39" t="str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  <x:c r="AA31" s="39"/>
      <x:c r="AB31" s="39"/>
      <x:c r="AC31" s="39"/>
      <x:c r="AD31" s="39"/>
      <x:c r="AE31" s="39"/>
      <x:c r="AF31" s="39"/>
      <x:c r="AG31" s="39"/>
    </x:row>
    <x:row r="32">
      <x:c r="A32" s="39" t="str"/>
      <x:c r="B32" s="39" t="str"/>
      <x:c r="C32" s="39" t="str"/>
      <x:c r="D32" s="39" t="str"/>
      <x:c r="E32" s="39" t="str"/>
      <x:c r="F32" s="39" t="str"/>
      <x:c r="G32" s="39" t="str"/>
      <x:c r="H32" s="39" t="str"/>
      <x:c r="I32" s="39" t="str"/>
      <x:c r="J32" s="39" t="str"/>
      <x:c r="K32" s="39" t="str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  <x:c r="AA32" s="39"/>
      <x:c r="AB32" s="39"/>
      <x:c r="AC32" s="39"/>
      <x:c r="AD32" s="39"/>
      <x:c r="AE32" s="39"/>
      <x:c r="AF32" s="39"/>
      <x:c r="AG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  <x:c r="AA33" s="39"/>
      <x:c r="AB33" s="39"/>
      <x:c r="AC33" s="39"/>
      <x:c r="AD33" s="39"/>
      <x:c r="AE33" s="39"/>
      <x:c r="AF33" s="39"/>
      <x:c r="AG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  <x:c r="AA34" s="39"/>
      <x:c r="AB34" s="39"/>
      <x:c r="AC34" s="39"/>
      <x:c r="AD34" s="39"/>
      <x:c r="AE34" s="39"/>
      <x:c r="AF34" s="39"/>
      <x:c r="AG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  <x:c r="AA35" s="39"/>
      <x:c r="AB35" s="39"/>
      <x:c r="AC35" s="39"/>
      <x:c r="AD35" s="39"/>
      <x:c r="AE35" s="39"/>
      <x:c r="AF35" s="39"/>
      <x:c r="AG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  <x:c r="AA36" s="39"/>
      <x:c r="AB36" s="39"/>
      <x:c r="AC36" s="39"/>
      <x:c r="AD36" s="39"/>
      <x:c r="AE36" s="39"/>
      <x:c r="AF36" s="39"/>
      <x:c r="AG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  <x:c r="AA37" s="39"/>
      <x:c r="AB37" s="39"/>
      <x:c r="AC37" s="39"/>
      <x:c r="AD37" s="39"/>
      <x:c r="AE37" s="39"/>
      <x:c r="AF37" s="39"/>
      <x:c r="AG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  <x:c r="AA38" s="39"/>
      <x:c r="AB38" s="39"/>
      <x:c r="AC38" s="39"/>
      <x:c r="AD38" s="39"/>
      <x:c r="AE38" s="39"/>
      <x:c r="AF38" s="39"/>
      <x:c r="AG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  <x:c r="AA39" s="39"/>
      <x:c r="AB39" s="39"/>
      <x:c r="AC39" s="39"/>
      <x:c r="AD39" s="39"/>
      <x:c r="AE39" s="39"/>
      <x:c r="AF39" s="39"/>
      <x:c r="AG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  <x:c r="AA40" s="39"/>
      <x:c r="AB40" s="39"/>
      <x:c r="AC40" s="39"/>
      <x:c r="AD40" s="39"/>
      <x:c r="AE40" s="39"/>
      <x:c r="AF40" s="39"/>
      <x:c r="AG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  <x:c r="AA41" s="39"/>
      <x:c r="AB41" s="39"/>
      <x:c r="AC41" s="39"/>
      <x:c r="AD41" s="39"/>
      <x:c r="AE41" s="39"/>
      <x:c r="AF41" s="39"/>
      <x:c r="AG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  <x:c r="AA42" s="39"/>
      <x:c r="AB42" s="39"/>
      <x:c r="AC42" s="39"/>
      <x:c r="AD42" s="39"/>
      <x:c r="AE42" s="39"/>
      <x:c r="AF42" s="39"/>
      <x:c r="AG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  <x:c r="AA43" s="39"/>
      <x:c r="AB43" s="39"/>
      <x:c r="AC43" s="39"/>
      <x:c r="AD43" s="39"/>
      <x:c r="AE43" s="39"/>
      <x:c r="AF43" s="39"/>
      <x:c r="AG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  <x:c r="AA44" s="39"/>
      <x:c r="AB44" s="39"/>
      <x:c r="AC44" s="39"/>
      <x:c r="AD44" s="39"/>
      <x:c r="AE44" s="39"/>
      <x:c r="AF44" s="39"/>
      <x:c r="AG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  <x:c r="AA45" s="39"/>
      <x:c r="AB45" s="39"/>
      <x:c r="AC45" s="39"/>
      <x:c r="AD45" s="39"/>
      <x:c r="AE45" s="39"/>
      <x:c r="AF45" s="39"/>
      <x:c r="AG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  <x:c r="AA46" s="39"/>
      <x:c r="AB46" s="39"/>
      <x:c r="AC46" s="39"/>
      <x:c r="AD46" s="39"/>
      <x:c r="AE46" s="39"/>
      <x:c r="AF46" s="39"/>
      <x:c r="AG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  <x:c r="AA47" s="39"/>
      <x:c r="AB47" s="39"/>
      <x:c r="AC47" s="39"/>
      <x:c r="AD47" s="39"/>
      <x:c r="AE47" s="39"/>
      <x:c r="AF47" s="39"/>
      <x:c r="AG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  <x:c r="AA48" s="39"/>
      <x:c r="AB48" s="39"/>
      <x:c r="AC48" s="39"/>
      <x:c r="AD48" s="39"/>
      <x:c r="AE48" s="39"/>
      <x:c r="AF48" s="39"/>
      <x:c r="AG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  <x:c r="AA49" s="39"/>
      <x:c r="AB49" s="39"/>
      <x:c r="AC49" s="39"/>
      <x:c r="AD49" s="39"/>
      <x:c r="AE49" s="39"/>
      <x:c r="AF49" s="39"/>
      <x:c r="AG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  <x:c r="AA50" s="39"/>
      <x:c r="AB50" s="39"/>
      <x:c r="AC50" s="39"/>
      <x:c r="AD50" s="39"/>
      <x:c r="AE50" s="39"/>
      <x:c r="AF50" s="39"/>
      <x:c r="AG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  <x:c r="AA51" s="39"/>
      <x:c r="AB51" s="39"/>
      <x:c r="AC51" s="39"/>
      <x:c r="AD51" s="39"/>
      <x:c r="AE51" s="39"/>
      <x:c r="AF51" s="39"/>
      <x:c r="AG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  <x:c r="AA52" s="39"/>
      <x:c r="AB52" s="39"/>
      <x:c r="AC52" s="39"/>
      <x:c r="AD52" s="39"/>
      <x:c r="AE52" s="39"/>
      <x:c r="AF52" s="39"/>
      <x:c r="AG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  <x:c r="AA53" s="39"/>
      <x:c r="AB53" s="39"/>
      <x:c r="AC53" s="39"/>
      <x:c r="AD53" s="39"/>
      <x:c r="AE53" s="39"/>
      <x:c r="AF53" s="39"/>
      <x:c r="AG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  <x:c r="AA54" s="39"/>
      <x:c r="AB54" s="39"/>
      <x:c r="AC54" s="39"/>
      <x:c r="AD54" s="39"/>
      <x:c r="AE54" s="39"/>
      <x:c r="AF54" s="39"/>
      <x:c r="AG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  <x:c r="AA55" s="39"/>
      <x:c r="AB55" s="39"/>
      <x:c r="AC55" s="39"/>
      <x:c r="AD55" s="39"/>
      <x:c r="AE55" s="39"/>
      <x:c r="AF55" s="39"/>
      <x:c r="AG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  <x:c r="AA56" s="39"/>
      <x:c r="AB56" s="39"/>
      <x:c r="AC56" s="39"/>
      <x:c r="AD56" s="39"/>
      <x:c r="AE56" s="39"/>
      <x:c r="AF56" s="39"/>
      <x:c r="AG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  <x:c r="AA57" s="39"/>
      <x:c r="AB57" s="39"/>
      <x:c r="AC57" s="39"/>
      <x:c r="AD57" s="39"/>
      <x:c r="AE57" s="39"/>
      <x:c r="AF57" s="39"/>
      <x:c r="AG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39"/>
      <x:c r="AE58" s="39"/>
      <x:c r="AF58" s="39"/>
      <x:c r="AG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  <x:c r="AA59" s="39"/>
      <x:c r="AB59" s="39"/>
      <x:c r="AC59" s="39"/>
      <x:c r="AD59" s="39"/>
      <x:c r="AE59" s="39"/>
      <x:c r="AF59" s="39"/>
      <x:c r="AG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  <x:c r="AA60" s="39"/>
      <x:c r="AB60" s="39"/>
      <x:c r="AC60" s="39"/>
      <x:c r="AD60" s="39"/>
      <x:c r="AE60" s="39"/>
      <x:c r="AF60" s="39"/>
      <x:c r="AG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  <x:c r="AA61" s="39"/>
      <x:c r="AB61" s="39"/>
      <x:c r="AC61" s="39"/>
      <x:c r="AD61" s="39"/>
      <x:c r="AE61" s="39"/>
      <x:c r="AF61" s="39"/>
      <x:c r="AG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  <x:c r="AA62" s="39"/>
      <x:c r="AB62" s="39"/>
      <x:c r="AC62" s="39"/>
      <x:c r="AD62" s="39"/>
      <x:c r="AE62" s="39"/>
      <x:c r="AF62" s="39"/>
      <x:c r="AG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  <x:c r="AA63" s="39"/>
      <x:c r="AB63" s="39"/>
      <x:c r="AC63" s="39"/>
      <x:c r="AD63" s="39"/>
      <x:c r="AE63" s="39"/>
      <x:c r="AF63" s="39"/>
      <x:c r="AG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  <x:c r="AA64" s="39"/>
      <x:c r="AB64" s="39"/>
      <x:c r="AC64" s="39"/>
      <x:c r="AD64" s="39"/>
      <x:c r="AE64" s="39"/>
      <x:c r="AF64" s="39"/>
      <x:c r="AG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  <x:c r="AA65" s="39"/>
      <x:c r="AB65" s="39"/>
      <x:c r="AC65" s="39"/>
      <x:c r="AD65" s="39"/>
      <x:c r="AE65" s="39"/>
      <x:c r="AF65" s="39"/>
      <x:c r="AG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  <x:c r="AA66" s="39"/>
      <x:c r="AB66" s="39"/>
      <x:c r="AC66" s="39"/>
      <x:c r="AD66" s="39"/>
      <x:c r="AE66" s="39"/>
      <x:c r="AF66" s="39"/>
      <x:c r="AG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  <x:c r="AA67" s="39"/>
      <x:c r="AB67" s="39"/>
      <x:c r="AC67" s="39"/>
      <x:c r="AD67" s="39"/>
      <x:c r="AE67" s="39"/>
      <x:c r="AF67" s="39"/>
      <x:c r="AG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  <x:c r="AA68" s="39"/>
      <x:c r="AB68" s="39"/>
      <x:c r="AC68" s="39"/>
      <x:c r="AD68" s="39"/>
      <x:c r="AE68" s="39"/>
      <x:c r="AF68" s="39"/>
      <x:c r="AG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  <x:c r="AA69" s="39"/>
      <x:c r="AB69" s="39"/>
      <x:c r="AC69" s="39"/>
      <x:c r="AD69" s="39"/>
      <x:c r="AE69" s="39"/>
      <x:c r="AF69" s="39"/>
      <x:c r="AG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  <x:c r="AA70" s="39"/>
      <x:c r="AB70" s="39"/>
      <x:c r="AC70" s="39"/>
      <x:c r="AD70" s="39"/>
      <x:c r="AE70" s="39"/>
      <x:c r="AF70" s="39"/>
      <x:c r="AG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  <x:c r="AA71" s="39"/>
      <x:c r="AB71" s="39"/>
      <x:c r="AC71" s="39"/>
      <x:c r="AD71" s="39"/>
      <x:c r="AE71" s="39"/>
      <x:c r="AF71" s="39"/>
      <x:c r="AG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  <x:c r="AA72" s="39"/>
      <x:c r="AB72" s="39"/>
      <x:c r="AC72" s="39"/>
      <x:c r="AD72" s="39"/>
      <x:c r="AE72" s="39"/>
      <x:c r="AF72" s="39"/>
      <x:c r="AG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  <x:c r="AA73" s="39"/>
      <x:c r="AB73" s="39"/>
      <x:c r="AC73" s="39"/>
      <x:c r="AD73" s="39"/>
      <x:c r="AE73" s="39"/>
      <x:c r="AF73" s="39"/>
      <x:c r="AG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  <x:c r="AA74" s="39"/>
      <x:c r="AB74" s="39"/>
      <x:c r="AC74" s="39"/>
      <x:c r="AD74" s="39"/>
      <x:c r="AE74" s="39"/>
      <x:c r="AF74" s="39"/>
      <x:c r="AG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  <x:c r="AA75" s="39"/>
      <x:c r="AB75" s="39"/>
      <x:c r="AC75" s="39"/>
      <x:c r="AD75" s="39"/>
      <x:c r="AE75" s="39"/>
      <x:c r="AF75" s="39"/>
      <x:c r="AG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  <x:c r="AA76" s="39"/>
      <x:c r="AB76" s="39"/>
      <x:c r="AC76" s="39"/>
      <x:c r="AD76" s="39"/>
      <x:c r="AE76" s="39"/>
      <x:c r="AF76" s="39"/>
      <x:c r="AG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  <x:c r="AA77" s="39"/>
      <x:c r="AB77" s="39"/>
      <x:c r="AC77" s="39"/>
      <x:c r="AD77" s="39"/>
      <x:c r="AE77" s="39"/>
      <x:c r="AF77" s="39"/>
      <x:c r="AG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  <x:c r="AA78" s="39"/>
      <x:c r="AB78" s="39"/>
      <x:c r="AC78" s="39"/>
      <x:c r="AD78" s="39"/>
      <x:c r="AE78" s="39"/>
      <x:c r="AF78" s="39"/>
      <x:c r="AG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  <x:c r="AA79" s="39"/>
      <x:c r="AB79" s="39"/>
      <x:c r="AC79" s="39"/>
      <x:c r="AD79" s="39"/>
      <x:c r="AE79" s="39"/>
      <x:c r="AF79" s="39"/>
      <x:c r="AG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  <x:c r="AA80" s="39"/>
      <x:c r="AB80" s="39"/>
      <x:c r="AC80" s="39"/>
      <x:c r="AD80" s="39"/>
      <x:c r="AE80" s="39"/>
      <x:c r="AF80" s="39"/>
      <x:c r="AG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  <x:c r="AA81" s="39"/>
      <x:c r="AB81" s="39"/>
      <x:c r="AC81" s="39"/>
      <x:c r="AD81" s="39"/>
      <x:c r="AE81" s="39"/>
      <x:c r="AF81" s="39"/>
      <x:c r="AG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  <x:c r="AA82" s="39"/>
      <x:c r="AB82" s="39"/>
      <x:c r="AC82" s="39"/>
      <x:c r="AD82" s="39"/>
      <x:c r="AE82" s="39"/>
      <x:c r="AF82" s="39"/>
      <x:c r="AG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  <x:c r="AA83" s="39"/>
      <x:c r="AB83" s="39"/>
      <x:c r="AC83" s="39"/>
      <x:c r="AD83" s="39"/>
      <x:c r="AE83" s="39"/>
      <x:c r="AF83" s="39"/>
      <x:c r="AG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  <x:c r="AA84" s="39"/>
      <x:c r="AB84" s="39"/>
      <x:c r="AC84" s="39"/>
      <x:c r="AD84" s="39"/>
      <x:c r="AE84" s="39"/>
      <x:c r="AF84" s="39"/>
      <x:c r="AG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  <x:c r="AA85" s="39"/>
      <x:c r="AB85" s="39"/>
      <x:c r="AC85" s="39"/>
      <x:c r="AD85" s="39"/>
      <x:c r="AE85" s="39"/>
      <x:c r="AF85" s="39"/>
      <x:c r="AG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  <x:c r="AA86" s="39"/>
      <x:c r="AB86" s="39"/>
      <x:c r="AC86" s="39"/>
      <x:c r="AD86" s="39"/>
      <x:c r="AE86" s="39"/>
      <x:c r="AF86" s="39"/>
      <x:c r="AG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  <x:c r="AA87" s="39"/>
      <x:c r="AB87" s="39"/>
      <x:c r="AC87" s="39"/>
      <x:c r="AD87" s="39"/>
      <x:c r="AE87" s="39"/>
      <x:c r="AF87" s="39"/>
      <x:c r="AG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  <x:c r="AA88" s="39"/>
      <x:c r="AB88" s="39"/>
      <x:c r="AC88" s="39"/>
      <x:c r="AD88" s="39"/>
      <x:c r="AE88" s="39"/>
      <x:c r="AF88" s="39"/>
      <x:c r="AG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  <x:c r="AA89" s="39"/>
      <x:c r="AB89" s="39"/>
      <x:c r="AC89" s="39"/>
      <x:c r="AD89" s="39"/>
      <x:c r="AE89" s="39"/>
      <x:c r="AF89" s="39"/>
      <x:c r="AG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  <x:c r="AA90" s="39"/>
      <x:c r="AB90" s="39"/>
      <x:c r="AC90" s="39"/>
      <x:c r="AD90" s="39"/>
      <x:c r="AE90" s="39"/>
      <x:c r="AF90" s="39"/>
      <x:c r="AG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  <x:c r="AA91" s="39"/>
      <x:c r="AB91" s="39"/>
      <x:c r="AC91" s="39"/>
      <x:c r="AD91" s="39"/>
      <x:c r="AE91" s="39"/>
      <x:c r="AF91" s="39"/>
      <x:c r="AG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  <x:c r="AA92" s="39"/>
      <x:c r="AB92" s="39"/>
      <x:c r="AC92" s="39"/>
      <x:c r="AD92" s="39"/>
      <x:c r="AE92" s="39"/>
      <x:c r="AF92" s="39"/>
      <x:c r="AG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  <x:c r="AA93" s="39"/>
      <x:c r="AB93" s="39"/>
      <x:c r="AC93" s="39"/>
      <x:c r="AD93" s="39"/>
      <x:c r="AE93" s="39"/>
      <x:c r="AF93" s="39"/>
      <x:c r="AG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  <x:c r="AA94" s="39"/>
      <x:c r="AB94" s="39"/>
      <x:c r="AC94" s="39"/>
      <x:c r="AD94" s="39"/>
      <x:c r="AE94" s="39"/>
      <x:c r="AF94" s="39"/>
      <x:c r="AG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  <x:c r="AA95" s="39"/>
      <x:c r="AB95" s="39"/>
      <x:c r="AC95" s="39"/>
      <x:c r="AD95" s="39"/>
      <x:c r="AE95" s="39"/>
      <x:c r="AF95" s="39"/>
      <x:c r="AG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  <x:c r="AA96" s="39"/>
      <x:c r="AB96" s="39"/>
      <x:c r="AC96" s="39"/>
      <x:c r="AD96" s="39"/>
      <x:c r="AE96" s="39"/>
      <x:c r="AF96" s="39"/>
      <x:c r="AG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  <x:c r="AA97" s="39"/>
      <x:c r="AB97" s="39"/>
      <x:c r="AC97" s="39"/>
      <x:c r="AD97" s="39"/>
      <x:c r="AE97" s="39"/>
      <x:c r="AF97" s="39"/>
      <x:c r="AG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  <x:c r="AA98" s="39"/>
      <x:c r="AB98" s="39"/>
      <x:c r="AC98" s="39"/>
      <x:c r="AD98" s="39"/>
      <x:c r="AE98" s="39"/>
      <x:c r="AF98" s="39"/>
      <x:c r="AG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  <x:c r="AA99" s="39"/>
      <x:c r="AB99" s="39"/>
      <x:c r="AC99" s="39"/>
      <x:c r="AD99" s="39"/>
      <x:c r="AE99" s="39"/>
      <x:c r="AF99" s="39"/>
      <x:c r="AG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  <x:c r="AA100" s="39"/>
      <x:c r="AB100" s="39"/>
      <x:c r="AC100" s="39"/>
      <x:c r="AD100" s="39"/>
      <x:c r="AE100" s="39"/>
      <x:c r="AF100" s="39"/>
      <x:c r="AG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  <x:c r="AA101" s="39"/>
      <x:c r="AB101" s="39"/>
      <x:c r="AC101" s="39"/>
      <x:c r="AD101" s="39"/>
      <x:c r="AE101" s="39"/>
      <x:c r="AF101" s="39"/>
      <x:c r="AG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  <x:c r="AA102" s="39"/>
      <x:c r="AB102" s="39"/>
      <x:c r="AC102" s="39"/>
      <x:c r="AD102" s="39"/>
      <x:c r="AE102" s="39"/>
      <x:c r="AF102" s="39"/>
      <x:c r="AG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  <x:c r="AA103" s="39"/>
      <x:c r="AB103" s="39"/>
      <x:c r="AC103" s="39"/>
      <x:c r="AD103" s="39"/>
      <x:c r="AE103" s="39"/>
      <x:c r="AF103" s="39"/>
      <x:c r="AG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  <x:c r="AA104" s="39"/>
      <x:c r="AB104" s="39"/>
      <x:c r="AC104" s="39"/>
      <x:c r="AD104" s="39"/>
      <x:c r="AE104" s="39"/>
      <x:c r="AF104" s="39"/>
      <x:c r="AG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  <x:c r="AA105" s="39"/>
      <x:c r="AB105" s="39"/>
      <x:c r="AC105" s="39"/>
      <x:c r="AD105" s="39"/>
      <x:c r="AE105" s="39"/>
      <x:c r="AF105" s="39"/>
      <x:c r="AG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  <x:c r="AA106" s="39"/>
      <x:c r="AB106" s="39"/>
      <x:c r="AC106" s="39"/>
      <x:c r="AD106" s="39"/>
      <x:c r="AE106" s="39"/>
      <x:c r="AF106" s="39"/>
      <x:c r="AG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  <x:c r="AA107" s="39"/>
      <x:c r="AB107" s="39"/>
      <x:c r="AC107" s="39"/>
      <x:c r="AD107" s="39"/>
      <x:c r="AE107" s="39"/>
      <x:c r="AF107" s="39"/>
      <x:c r="AG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  <x:c r="AA108" s="39"/>
      <x:c r="AB108" s="39"/>
      <x:c r="AC108" s="39"/>
      <x:c r="AD108" s="39"/>
      <x:c r="AE108" s="39"/>
      <x:c r="AF108" s="39"/>
      <x:c r="AG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  <x:c r="AA109" s="39"/>
      <x:c r="AB109" s="39"/>
      <x:c r="AC109" s="39"/>
      <x:c r="AD109" s="39"/>
      <x:c r="AE109" s="39"/>
      <x:c r="AF109" s="39"/>
      <x:c r="AG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  <x:c r="AA110" s="39"/>
      <x:c r="AB110" s="39"/>
      <x:c r="AC110" s="39"/>
      <x:c r="AD110" s="39"/>
      <x:c r="AE110" s="39"/>
      <x:c r="AF110" s="39"/>
      <x:c r="AG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  <x:c r="AA111" s="39"/>
      <x:c r="AB111" s="39"/>
      <x:c r="AC111" s="39"/>
      <x:c r="AD111" s="39"/>
      <x:c r="AE111" s="39"/>
      <x:c r="AF111" s="39"/>
      <x:c r="AG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  <x:c r="AA112" s="39"/>
      <x:c r="AB112" s="39"/>
      <x:c r="AC112" s="39"/>
      <x:c r="AD112" s="39"/>
      <x:c r="AE112" s="39"/>
      <x:c r="AF112" s="39"/>
      <x:c r="AG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  <x:c r="AA113" s="39"/>
      <x:c r="AB113" s="39"/>
      <x:c r="AC113" s="39"/>
      <x:c r="AD113" s="39"/>
      <x:c r="AE113" s="39"/>
      <x:c r="AF113" s="39"/>
      <x:c r="AG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  <x:c r="AA114" s="39"/>
      <x:c r="AB114" s="39"/>
      <x:c r="AC114" s="39"/>
      <x:c r="AD114" s="39"/>
      <x:c r="AE114" s="39"/>
      <x:c r="AF114" s="39"/>
      <x:c r="AG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  <x:c r="AA115" s="39"/>
      <x:c r="AB115" s="39"/>
      <x:c r="AC115" s="39"/>
      <x:c r="AD115" s="39"/>
      <x:c r="AE115" s="39"/>
      <x:c r="AF115" s="39"/>
      <x:c r="AG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  <x:c r="AA116" s="39"/>
      <x:c r="AB116" s="39"/>
      <x:c r="AC116" s="39"/>
      <x:c r="AD116" s="39"/>
      <x:c r="AE116" s="39"/>
      <x:c r="AF116" s="39"/>
      <x:c r="AG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  <x:c r="AA117" s="39"/>
      <x:c r="AB117" s="39"/>
      <x:c r="AC117" s="39"/>
      <x:c r="AD117" s="39"/>
      <x:c r="AE117" s="39"/>
      <x:c r="AF117" s="39"/>
      <x:c r="AG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  <x:c r="AA118" s="39"/>
      <x:c r="AB118" s="39"/>
      <x:c r="AC118" s="39"/>
      <x:c r="AD118" s="39"/>
      <x:c r="AE118" s="39"/>
      <x:c r="AF118" s="39"/>
      <x:c r="AG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  <x:c r="AA119" s="39"/>
      <x:c r="AB119" s="39"/>
      <x:c r="AC119" s="39"/>
      <x:c r="AD119" s="39"/>
      <x:c r="AE119" s="39"/>
      <x:c r="AF119" s="39"/>
      <x:c r="AG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  <x:c r="AA120" s="39"/>
      <x:c r="AB120" s="39"/>
      <x:c r="AC120" s="39"/>
      <x:c r="AD120" s="39"/>
      <x:c r="AE120" s="39"/>
      <x:c r="AF120" s="39"/>
      <x:c r="AG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  <x:c r="AA121" s="39"/>
      <x:c r="AB121" s="39"/>
      <x:c r="AC121" s="39"/>
      <x:c r="AD121" s="39"/>
      <x:c r="AE121" s="39"/>
      <x:c r="AF121" s="39"/>
      <x:c r="AG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  <x:c r="AA122" s="39"/>
      <x:c r="AB122" s="39"/>
      <x:c r="AC122" s="39"/>
      <x:c r="AD122" s="39"/>
      <x:c r="AE122" s="39"/>
      <x:c r="AF122" s="39"/>
      <x:c r="AG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  <x:c r="AA123" s="39"/>
      <x:c r="AB123" s="39"/>
      <x:c r="AC123" s="39"/>
      <x:c r="AD123" s="39"/>
      <x:c r="AE123" s="39"/>
      <x:c r="AF123" s="39"/>
      <x:c r="AG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  <x:c r="AA124" s="39"/>
      <x:c r="AB124" s="39"/>
      <x:c r="AC124" s="39"/>
      <x:c r="AD124" s="39"/>
      <x:c r="AE124" s="39"/>
      <x:c r="AF124" s="39"/>
      <x:c r="AG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  <x:c r="AA125" s="39"/>
      <x:c r="AB125" s="39"/>
      <x:c r="AC125" s="39"/>
      <x:c r="AD125" s="39"/>
      <x:c r="AE125" s="39"/>
      <x:c r="AF125" s="39"/>
      <x:c r="AG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  <x:c r="AA126" s="39"/>
      <x:c r="AB126" s="39"/>
      <x:c r="AC126" s="39"/>
      <x:c r="AD126" s="39"/>
      <x:c r="AE126" s="39"/>
      <x:c r="AF126" s="39"/>
      <x:c r="AG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  <x:c r="AA127" s="39"/>
      <x:c r="AB127" s="39"/>
      <x:c r="AC127" s="39"/>
      <x:c r="AD127" s="39"/>
      <x:c r="AE127" s="39"/>
      <x:c r="AF127" s="39"/>
      <x:c r="AG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  <x:c r="AA128" s="39"/>
      <x:c r="AB128" s="39"/>
      <x:c r="AC128" s="39"/>
      <x:c r="AD128" s="39"/>
      <x:c r="AE128" s="39"/>
      <x:c r="AF128" s="39"/>
      <x:c r="AG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  <x:c r="AA129" s="39"/>
      <x:c r="AB129" s="39"/>
      <x:c r="AC129" s="39"/>
      <x:c r="AD129" s="39"/>
      <x:c r="AE129" s="39"/>
      <x:c r="AF129" s="39"/>
      <x:c r="AG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  <x:c r="AA130" s="39"/>
      <x:c r="AB130" s="39"/>
      <x:c r="AC130" s="39"/>
      <x:c r="AD130" s="39"/>
      <x:c r="AE130" s="39"/>
      <x:c r="AF130" s="39"/>
      <x:c r="AG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  <x:c r="AA131" s="39"/>
      <x:c r="AB131" s="39"/>
      <x:c r="AC131" s="39"/>
      <x:c r="AD131" s="39"/>
      <x:c r="AE131" s="39"/>
      <x:c r="AF131" s="39"/>
      <x:c r="AG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  <x:c r="AA132" s="39"/>
      <x:c r="AB132" s="39"/>
      <x:c r="AC132" s="39"/>
      <x:c r="AD132" s="39"/>
      <x:c r="AE132" s="39"/>
      <x:c r="AF132" s="39"/>
      <x:c r="AG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  <x:c r="AA133" s="39"/>
      <x:c r="AB133" s="39"/>
      <x:c r="AC133" s="39"/>
      <x:c r="AD133" s="39"/>
      <x:c r="AE133" s="39"/>
      <x:c r="AF133" s="39"/>
      <x:c r="AG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  <x:c r="AA134" s="39"/>
      <x:c r="AB134" s="39"/>
      <x:c r="AC134" s="39"/>
      <x:c r="AD134" s="39"/>
      <x:c r="AE134" s="39"/>
      <x:c r="AF134" s="39"/>
      <x:c r="AG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  <x:c r="AA135" s="39"/>
      <x:c r="AB135" s="39"/>
      <x:c r="AC135" s="39"/>
      <x:c r="AD135" s="39"/>
      <x:c r="AE135" s="39"/>
      <x:c r="AF135" s="39"/>
      <x:c r="AG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  <x:c r="AA136" s="39"/>
      <x:c r="AB136" s="39"/>
      <x:c r="AC136" s="39"/>
      <x:c r="AD136" s="39"/>
      <x:c r="AE136" s="39"/>
      <x:c r="AF136" s="39"/>
      <x:c r="AG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  <x:c r="AA137" s="39"/>
      <x:c r="AB137" s="39"/>
      <x:c r="AC137" s="39"/>
      <x:c r="AD137" s="39"/>
      <x:c r="AE137" s="39"/>
      <x:c r="AF137" s="39"/>
      <x:c r="AG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  <x:c r="AA138" s="39"/>
      <x:c r="AB138" s="39"/>
      <x:c r="AC138" s="39"/>
      <x:c r="AD138" s="39"/>
      <x:c r="AE138" s="39"/>
      <x:c r="AF138" s="39"/>
      <x:c r="AG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  <x:c r="AA139" s="39"/>
      <x:c r="AB139" s="39"/>
      <x:c r="AC139" s="39"/>
      <x:c r="AD139" s="39"/>
      <x:c r="AE139" s="39"/>
      <x:c r="AF139" s="39"/>
      <x:c r="AG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  <x:c r="AA140" s="39"/>
      <x:c r="AB140" s="39"/>
      <x:c r="AC140" s="39"/>
      <x:c r="AD140" s="39"/>
      <x:c r="AE140" s="39"/>
      <x:c r="AF140" s="39"/>
      <x:c r="AG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  <x:c r="AA141" s="39"/>
      <x:c r="AB141" s="39"/>
      <x:c r="AC141" s="39"/>
      <x:c r="AD141" s="39"/>
      <x:c r="AE141" s="39"/>
      <x:c r="AF141" s="39"/>
      <x:c r="AG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  <x:c r="AA142" s="39"/>
      <x:c r="AB142" s="39"/>
      <x:c r="AC142" s="39"/>
      <x:c r="AD142" s="39"/>
      <x:c r="AE142" s="39"/>
      <x:c r="AF142" s="39"/>
      <x:c r="AG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  <x:c r="AA143" s="39"/>
      <x:c r="AB143" s="39"/>
      <x:c r="AC143" s="39"/>
      <x:c r="AD143" s="39"/>
      <x:c r="AE143" s="39"/>
      <x:c r="AF143" s="39"/>
      <x:c r="AG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  <x:c r="AA144" s="39"/>
      <x:c r="AB144" s="39"/>
      <x:c r="AC144" s="39"/>
      <x:c r="AD144" s="39"/>
      <x:c r="AE144" s="39"/>
      <x:c r="AF144" s="39"/>
      <x:c r="AG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  <x:c r="AA145" s="39"/>
      <x:c r="AB145" s="39"/>
      <x:c r="AC145" s="39"/>
      <x:c r="AD145" s="39"/>
      <x:c r="AE145" s="39"/>
      <x:c r="AF145" s="39"/>
      <x:c r="AG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  <x:c r="AA146" s="39"/>
      <x:c r="AB146" s="39"/>
      <x:c r="AC146" s="39"/>
      <x:c r="AD146" s="39"/>
      <x:c r="AE146" s="39"/>
      <x:c r="AF146" s="39"/>
      <x:c r="AG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  <x:c r="AA147" s="39"/>
      <x:c r="AB147" s="39"/>
      <x:c r="AC147" s="39"/>
      <x:c r="AD147" s="39"/>
      <x:c r="AE147" s="39"/>
      <x:c r="AF147" s="39"/>
      <x:c r="AG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  <x:c r="AA148" s="39"/>
      <x:c r="AB148" s="39"/>
      <x:c r="AC148" s="39"/>
      <x:c r="AD148" s="39"/>
      <x:c r="AE148" s="39"/>
      <x:c r="AF148" s="39"/>
      <x:c r="AG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  <x:c r="AA149" s="39"/>
      <x:c r="AB149" s="39"/>
      <x:c r="AC149" s="39"/>
      <x:c r="AD149" s="39"/>
      <x:c r="AE149" s="39"/>
      <x:c r="AF149" s="39"/>
      <x:c r="AG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  <x:c r="AA150" s="39"/>
      <x:c r="AB150" s="39"/>
      <x:c r="AC150" s="39"/>
      <x:c r="AD150" s="39"/>
      <x:c r="AE150" s="39"/>
      <x:c r="AF150" s="39"/>
      <x:c r="AG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  <x:c r="AA151" s="39"/>
      <x:c r="AB151" s="39"/>
      <x:c r="AC151" s="39"/>
      <x:c r="AD151" s="39"/>
      <x:c r="AE151" s="39"/>
      <x:c r="AF151" s="39"/>
      <x:c r="AG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  <x:c r="AA152" s="39"/>
      <x:c r="AB152" s="39"/>
      <x:c r="AC152" s="39"/>
      <x:c r="AD152" s="39"/>
      <x:c r="AE152" s="39"/>
      <x:c r="AF152" s="39"/>
      <x:c r="AG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  <x:c r="AA153" s="39"/>
      <x:c r="AB153" s="39"/>
      <x:c r="AC153" s="39"/>
      <x:c r="AD153" s="39"/>
      <x:c r="AE153" s="39"/>
      <x:c r="AF153" s="39"/>
      <x:c r="AG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  <x:c r="AA154" s="39"/>
      <x:c r="AB154" s="39"/>
      <x:c r="AC154" s="39"/>
      <x:c r="AD154" s="39"/>
      <x:c r="AE154" s="39"/>
      <x:c r="AF154" s="39"/>
      <x:c r="AG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  <x:c r="AA155" s="39"/>
      <x:c r="AB155" s="39"/>
      <x:c r="AC155" s="39"/>
      <x:c r="AD155" s="39"/>
      <x:c r="AE155" s="39"/>
      <x:c r="AF155" s="39"/>
      <x:c r="AG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  <x:c r="AA156" s="39"/>
      <x:c r="AB156" s="39"/>
      <x:c r="AC156" s="39"/>
      <x:c r="AD156" s="39"/>
      <x:c r="AE156" s="39"/>
      <x:c r="AF156" s="39"/>
      <x:c r="AG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  <x:c r="AA157" s="39"/>
      <x:c r="AB157" s="39"/>
      <x:c r="AC157" s="39"/>
      <x:c r="AD157" s="39"/>
      <x:c r="AE157" s="39"/>
      <x:c r="AF157" s="39"/>
      <x:c r="AG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  <x:c r="AA158" s="39"/>
      <x:c r="AB158" s="39"/>
      <x:c r="AC158" s="39"/>
      <x:c r="AD158" s="39"/>
      <x:c r="AE158" s="39"/>
      <x:c r="AF158" s="39"/>
      <x:c r="AG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  <x:c r="AA159" s="39"/>
      <x:c r="AB159" s="39"/>
      <x:c r="AC159" s="39"/>
      <x:c r="AD159" s="39"/>
      <x:c r="AE159" s="39"/>
      <x:c r="AF159" s="39"/>
      <x:c r="AG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  <x:c r="AA160" s="39"/>
      <x:c r="AB160" s="39"/>
      <x:c r="AC160" s="39"/>
      <x:c r="AD160" s="39"/>
      <x:c r="AE160" s="39"/>
      <x:c r="AF160" s="39"/>
      <x:c r="AG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  <x:c r="AA161" s="39"/>
      <x:c r="AB161" s="39"/>
      <x:c r="AC161" s="39"/>
      <x:c r="AD161" s="39"/>
      <x:c r="AE161" s="39"/>
      <x:c r="AF161" s="39"/>
      <x:c r="AG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  <x:c r="AA162" s="39"/>
      <x:c r="AB162" s="39"/>
      <x:c r="AC162" s="39"/>
      <x:c r="AD162" s="39"/>
      <x:c r="AE162" s="39"/>
      <x:c r="AF162" s="39"/>
      <x:c r="AG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  <x:c r="AA163" s="39"/>
      <x:c r="AB163" s="39"/>
      <x:c r="AC163" s="39"/>
      <x:c r="AD163" s="39"/>
      <x:c r="AE163" s="39"/>
      <x:c r="AF163" s="39"/>
      <x:c r="AG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  <x:c r="AA164" s="39"/>
      <x:c r="AB164" s="39"/>
      <x:c r="AC164" s="39"/>
      <x:c r="AD164" s="39"/>
      <x:c r="AE164" s="39"/>
      <x:c r="AF164" s="39"/>
      <x:c r="AG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  <x:c r="AA165" s="39"/>
      <x:c r="AB165" s="39"/>
      <x:c r="AC165" s="39"/>
      <x:c r="AD165" s="39"/>
      <x:c r="AE165" s="39"/>
      <x:c r="AF165" s="39"/>
      <x:c r="AG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  <x:c r="AA166" s="39"/>
      <x:c r="AB166" s="39"/>
      <x:c r="AC166" s="39"/>
      <x:c r="AD166" s="39"/>
      <x:c r="AE166" s="39"/>
      <x:c r="AF166" s="39"/>
      <x:c r="AG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  <x:c r="AA167" s="39"/>
      <x:c r="AB167" s="39"/>
      <x:c r="AC167" s="39"/>
      <x:c r="AD167" s="39"/>
      <x:c r="AE167" s="39"/>
      <x:c r="AF167" s="39"/>
      <x:c r="AG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  <x:c r="AA168" s="39"/>
      <x:c r="AB168" s="39"/>
      <x:c r="AC168" s="39"/>
      <x:c r="AD168" s="39"/>
      <x:c r="AE168" s="39"/>
      <x:c r="AF168" s="39"/>
      <x:c r="AG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  <x:c r="AA169" s="39"/>
      <x:c r="AB169" s="39"/>
      <x:c r="AC169" s="39"/>
      <x:c r="AD169" s="39"/>
      <x:c r="AE169" s="39"/>
      <x:c r="AF169" s="39"/>
      <x:c r="AG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  <x:c r="AA170" s="39"/>
      <x:c r="AB170" s="39"/>
      <x:c r="AC170" s="39"/>
      <x:c r="AD170" s="39"/>
      <x:c r="AE170" s="39"/>
      <x:c r="AF170" s="39"/>
      <x:c r="AG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  <x:c r="AA171" s="39"/>
      <x:c r="AB171" s="39"/>
      <x:c r="AC171" s="39"/>
      <x:c r="AD171" s="39"/>
      <x:c r="AE171" s="39"/>
      <x:c r="AF171" s="39"/>
      <x:c r="AG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  <x:c r="AA172" s="39"/>
      <x:c r="AB172" s="39"/>
      <x:c r="AC172" s="39"/>
      <x:c r="AD172" s="39"/>
      <x:c r="AE172" s="39"/>
      <x:c r="AF172" s="39"/>
      <x:c r="AG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  <x:c r="AA173" s="39"/>
      <x:c r="AB173" s="39"/>
      <x:c r="AC173" s="39"/>
      <x:c r="AD173" s="39"/>
      <x:c r="AE173" s="39"/>
      <x:c r="AF173" s="39"/>
      <x:c r="AG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  <x:c r="AA174" s="39"/>
      <x:c r="AB174" s="39"/>
      <x:c r="AC174" s="39"/>
      <x:c r="AD174" s="39"/>
      <x:c r="AE174" s="39"/>
      <x:c r="AF174" s="39"/>
      <x:c r="AG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  <x:c r="AA175" s="39"/>
      <x:c r="AB175" s="39"/>
      <x:c r="AC175" s="39"/>
      <x:c r="AD175" s="39"/>
      <x:c r="AE175" s="39"/>
      <x:c r="AF175" s="39"/>
      <x:c r="AG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  <x:c r="AA176" s="39"/>
      <x:c r="AB176" s="39"/>
      <x:c r="AC176" s="39"/>
      <x:c r="AD176" s="39"/>
      <x:c r="AE176" s="39"/>
      <x:c r="AF176" s="39"/>
      <x:c r="AG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  <x:c r="AA177" s="39"/>
      <x:c r="AB177" s="39"/>
      <x:c r="AC177" s="39"/>
      <x:c r="AD177" s="39"/>
      <x:c r="AE177" s="39"/>
      <x:c r="AF177" s="39"/>
      <x:c r="AG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  <x:c r="AA178" s="39"/>
      <x:c r="AB178" s="39"/>
      <x:c r="AC178" s="39"/>
      <x:c r="AD178" s="39"/>
      <x:c r="AE178" s="39"/>
      <x:c r="AF178" s="39"/>
      <x:c r="AG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  <x:c r="AA179" s="39"/>
      <x:c r="AB179" s="39"/>
      <x:c r="AC179" s="39"/>
      <x:c r="AD179" s="39"/>
      <x:c r="AE179" s="39"/>
      <x:c r="AF179" s="39"/>
      <x:c r="AG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  <x:c r="AA180" s="39"/>
      <x:c r="AB180" s="39"/>
      <x:c r="AC180" s="39"/>
      <x:c r="AD180" s="39"/>
      <x:c r="AE180" s="39"/>
      <x:c r="AF180" s="39"/>
      <x:c r="AG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  <x:c r="AA181" s="39"/>
      <x:c r="AB181" s="39"/>
      <x:c r="AC181" s="39"/>
      <x:c r="AD181" s="39"/>
      <x:c r="AE181" s="39"/>
      <x:c r="AF181" s="39"/>
      <x:c r="AG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  <x:c r="AA182" s="39"/>
      <x:c r="AB182" s="39"/>
      <x:c r="AC182" s="39"/>
      <x:c r="AD182" s="39"/>
      <x:c r="AE182" s="39"/>
      <x:c r="AF182" s="39"/>
      <x:c r="AG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  <x:c r="AA183" s="39"/>
      <x:c r="AB183" s="39"/>
      <x:c r="AC183" s="39"/>
      <x:c r="AD183" s="39"/>
      <x:c r="AE183" s="39"/>
      <x:c r="AF183" s="39"/>
      <x:c r="AG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  <x:c r="AA184" s="39"/>
      <x:c r="AB184" s="39"/>
      <x:c r="AC184" s="39"/>
      <x:c r="AD184" s="39"/>
      <x:c r="AE184" s="39"/>
      <x:c r="AF184" s="39"/>
      <x:c r="AG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  <x:c r="AA185" s="39"/>
      <x:c r="AB185" s="39"/>
      <x:c r="AC185" s="39"/>
      <x:c r="AD185" s="39"/>
      <x:c r="AE185" s="39"/>
      <x:c r="AF185" s="39"/>
      <x:c r="AG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  <x:c r="AA186" s="39"/>
      <x:c r="AB186" s="39"/>
      <x:c r="AC186" s="39"/>
      <x:c r="AD186" s="39"/>
      <x:c r="AE186" s="39"/>
      <x:c r="AF186" s="39"/>
      <x:c r="AG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  <x:c r="AA187" s="39"/>
      <x:c r="AB187" s="39"/>
      <x:c r="AC187" s="39"/>
      <x:c r="AD187" s="39"/>
      <x:c r="AE187" s="39"/>
      <x:c r="AF187" s="39"/>
      <x:c r="AG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  <x:c r="AA188" s="39"/>
      <x:c r="AB188" s="39"/>
      <x:c r="AC188" s="39"/>
      <x:c r="AD188" s="39"/>
      <x:c r="AE188" s="39"/>
      <x:c r="AF188" s="39"/>
      <x:c r="AG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  <x:c r="AA189" s="39"/>
      <x:c r="AB189" s="39"/>
      <x:c r="AC189" s="39"/>
      <x:c r="AD189" s="39"/>
      <x:c r="AE189" s="39"/>
      <x:c r="AF189" s="39"/>
      <x:c r="AG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  <x:c r="AA190" s="39"/>
      <x:c r="AB190" s="39"/>
      <x:c r="AC190" s="39"/>
      <x:c r="AD190" s="39"/>
      <x:c r="AE190" s="39"/>
      <x:c r="AF190" s="39"/>
      <x:c r="AG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  <x:c r="AA191" s="39"/>
      <x:c r="AB191" s="39"/>
      <x:c r="AC191" s="39"/>
      <x:c r="AD191" s="39"/>
      <x:c r="AE191" s="39"/>
      <x:c r="AF191" s="39"/>
      <x:c r="AG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  <x:c r="AA192" s="39"/>
      <x:c r="AB192" s="39"/>
      <x:c r="AC192" s="39"/>
      <x:c r="AD192" s="39"/>
      <x:c r="AE192" s="39"/>
      <x:c r="AF192" s="39"/>
      <x:c r="AG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  <x:c r="AA193" s="39"/>
      <x:c r="AB193" s="39"/>
      <x:c r="AC193" s="39"/>
      <x:c r="AD193" s="39"/>
      <x:c r="AE193" s="39"/>
      <x:c r="AF193" s="39"/>
      <x:c r="AG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  <x:c r="AA194" s="39"/>
      <x:c r="AB194" s="39"/>
      <x:c r="AC194" s="39"/>
      <x:c r="AD194" s="39"/>
      <x:c r="AE194" s="39"/>
      <x:c r="AF194" s="39"/>
      <x:c r="AG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  <x:c r="AA195" s="39"/>
      <x:c r="AB195" s="39"/>
      <x:c r="AC195" s="39"/>
      <x:c r="AD195" s="39"/>
      <x:c r="AE195" s="39"/>
      <x:c r="AF195" s="39"/>
      <x:c r="AG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  <x:c r="AA196" s="39"/>
      <x:c r="AB196" s="39"/>
      <x:c r="AC196" s="39"/>
      <x:c r="AD196" s="39"/>
      <x:c r="AE196" s="39"/>
      <x:c r="AF196" s="39"/>
      <x:c r="AG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  <x:c r="AA197" s="39"/>
      <x:c r="AB197" s="39"/>
      <x:c r="AC197" s="39"/>
      <x:c r="AD197" s="39"/>
      <x:c r="AE197" s="39"/>
      <x:c r="AF197" s="39"/>
      <x:c r="AG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  <x:c r="AA198" s="39"/>
      <x:c r="AB198" s="39"/>
      <x:c r="AC198" s="39"/>
      <x:c r="AD198" s="39"/>
      <x:c r="AE198" s="39"/>
      <x:c r="AF198" s="39"/>
      <x:c r="AG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  <x:c r="AA199" s="39"/>
      <x:c r="AB199" s="39"/>
      <x:c r="AC199" s="39"/>
      <x:c r="AD199" s="39"/>
      <x:c r="AE199" s="39"/>
      <x:c r="AF199" s="39"/>
      <x:c r="AG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  <x:c r="AA200" s="39"/>
      <x:c r="AB200" s="39"/>
      <x:c r="AC200" s="39"/>
      <x:c r="AD200" s="39"/>
      <x:c r="AE200" s="39"/>
      <x:c r="AF200" s="39"/>
      <x:c r="AG200" s="39"/>
    </x:row>
  </x:sheetData>
  <x:mergeCells>
    <x:mergeCell ref="A1:L1"/>
    <x:mergeCell ref="A3:D3"/>
    <x:mergeCell ref="D3:G3"/>
    <x:mergeCell ref="G3:K3"/>
    <x:mergeCell ref="A15:K15"/>
    <x:mergeCell ref="A22:F22"/>
    <x:mergeCell ref="A29:K29"/>
  </x:mergeCells>
  <x:conditionalFormatting sqref="K5:K7">
    <x:cfRule type="expression" dxfId="0" priority="1">
      <x:formula>K5="Sovraccarico"</x:formula>
    </x:cfRule>
    <x:cfRule type="expression" dxfId="1" priority="2">
      <x:formula>K5="Attenzione"</x:formula>
    </x:cfRule>
    <x:cfRule type="expression" dxfId="2" priority="3">
      <x:formula>K5="Sostenibile"</x:formula>
    </x:cfRule>
  </x:conditionalFormatting>
  <x:conditionalFormatting sqref="J5:J7">
    <x:cfRule type="dataBar" priority="4">
      <x:dataBar>
        <x:cfvo type="min"/>
        <x:cfvo type="max"/>
        <x:color rgb="F59E0B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conditionalFormatting sqref="J17:J18">
    <x:cfRule type="expression" dxfId="3" priority="5">
      <x:formula>J17="Cliente sano"</x:formula>
    </x:cfRule>
    <x:cfRule type="expression" dxfId="4" priority="6">
      <x:formula>ISNUMBER(SEARCH("sottoprezzato",J17))</x:formula>
    </x:cfRule>
    <x:cfRule type="expression" dxfId="5" priority="7">
      <x:formula>ISNUMBER(SEARCH("rinegoziare",J17))</x:formula>
    </x:cfRule>
  </x:conditionalFormatting>
  <x:conditionalFormatting sqref="I17:I18">
    <x:cfRule type="colorScale" priority="8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drawing xmlns:r="http://schemas.openxmlformats.org/officeDocument/2006/relationships" r:id="Raa9334c47b234a6d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169BE573-5479-287D-BE93-74B15E11EBFA}">
            <x14:dataBar gradient="1">
              <x14:cfvo type="min"/>
              <x14:cfvo type="max"/>
              <x14:fillColor rgb="F59E0B"/>
            </x14:dataBar>
          </x14:cfRule>
          <xm:sqref>J5:J7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18" hidden="0" customWidth="1"/>
    <x:col min="6" max="6" width="18" hidden="0" customWidth="1"/>
    <x:col min="7" max="7" width="16" hidden="0" customWidth="1"/>
    <x:col min="8" max="8" width="22" hidden="0" customWidth="1"/>
    <x:col min="9" max="9" width="16" hidden="0" customWidth="1"/>
    <x:col min="10" max="10" width="16" hidden="0" customWidth="1"/>
    <x:col min="11" max="11" width="12" hidden="0" customWidth="1"/>
    <x:col min="12" max="12" width="12" hidden="0" customWidth="1"/>
    <x:col min="13" max="13" width="14" hidden="0" customWidth="1"/>
    <x:col min="14" max="14" width="12" hidden="0" customWidth="1"/>
    <x:col min="15" max="15" width="12" hidden="0" customWidth="1"/>
    <x:col min="16" max="16" width="12" hidden="0" customWidth="1"/>
    <x:col min="17" max="17" width="28" hidden="0" customWidth="1"/>
    <x:col min="18" max="18" width="38" hidden="0" customWidth="1"/>
  </x:cols>
  <x:sheetData>
    <x:row r="1" ht="28" customHeight="1">
      <x:c r="A1" s="158" t="str">
        <x:v>Attività &amp; Tempi — Metrics</x:v>
      </x:c>
      <x:c r="B1" s="159"/>
      <x:c r="C1" s="159"/>
      <x:c r="D1" s="159"/>
      <x:c r="E1" s="159"/>
      <x:c r="F1" s="159"/>
      <x:c r="G1" s="159"/>
      <x:c r="H1" s="159"/>
      <x:c r="I1" s="159"/>
      <x:c r="J1" s="159"/>
      <x:c r="K1" s="159"/>
      <x:c r="L1" s="159"/>
      <x:c r="M1" s="159"/>
      <x:c r="N1" s="159"/>
      <x:c r="O1" s="159"/>
      <x:c r="P1" s="159"/>
      <x:c r="Q1" s="159"/>
      <x:c r="R1" s="159"/>
      <x:c r="S1" s="155"/>
      <x:c r="T1" s="155"/>
      <x:c r="U1" s="155"/>
      <x:c r="V1" s="155"/>
      <x:c r="W1" s="155"/>
      <x:c r="X1" s="155"/>
      <x:c r="Y1" s="155"/>
      <x:c r="Z1" s="155"/>
    </x:row>
    <x:row r="3" ht="28" customHeight="1">
      <x:c r="A3" s="202" t="str">
        <x:v>Cliente/Progetto</x:v>
      </x:c>
      <x:c r="B3" s="202" t="str">
        <x:v>Fase operativa</x:v>
      </x:c>
      <x:c r="C3" s="202" t="str">
        <x:v>Tipo attività</x:v>
      </x:c>
      <x:c r="D3" s="202" t="str">
        <x:v>Attività</x:v>
      </x:c>
      <x:c r="E3" s="202" t="str">
        <x:v>Responsabile attuale</x:v>
      </x:c>
      <x:c r="F3" s="202" t="str">
        <x:v>Responsabile ideale</x:v>
      </x:c>
      <x:c r="G3" s="202" t="str">
        <x:v>Priorità</x:v>
      </x:c>
      <x:c r="H3" s="202" t="str">
        <x:v>Delegabilità</x:v>
      </x:c>
      <x:c r="I3" s="202" t="str">
        <x:v>Inclusa nel canone?</x:v>
      </x:c>
      <x:c r="J3" s="202" t="str">
        <x:v>Frequenza</x:v>
      </x:c>
      <x:c r="K3" s="202" t="str">
        <x:v>Minuti per esecuzione</x:v>
      </x:c>
      <x:c r="L3" s="202" t="str">
        <x:v>Volte/mese</x:v>
      </x:c>
      <x:c r="M3" s="202" t="str">
        <x:v>Ore mensili dirette</x:v>
      </x:c>
      <x:c r="N3" s="202" t="str">
        <x:v>Ore/mese calcolate</x:v>
      </x:c>
      <x:c r="O3" s="202" t="str">
        <x:v>Costo orario stimato</x:v>
      </x:c>
      <x:c r="P3" s="202" t="str">
        <x:v>Costo teorico</x:v>
      </x:c>
      <x:c r="Q3" s="202" t="str">
        <x:v>Link Notion</x:v>
      </x:c>
      <x:c r="R3" s="202" t="str">
        <x:v>Note</x:v>
      </x:c>
    </x:row>
    <x:row r="4">
      <x:c r="A4" s="197" t="str">
        <x:v>Startupdata</x:v>
      </x:c>
      <x:c r="B4" s="197" t="str">
        <x:v>Setup iniziale</x:v>
      </x:c>
      <x:c r="C4" s="197" t="str">
        <x:v>Strategia</x:v>
      </x:c>
      <x:c r="D4" s="197" t="str">
        <x:v>Strategia sistema appuntamenti e target</x:v>
      </x:c>
      <x:c r="E4" s="197" t="str">
        <x:v>Fabio</x:v>
      </x:c>
      <x:c r="F4" s="197" t="str">
        <x:v>Fabio</x:v>
      </x:c>
      <x:c r="G4" s="197" t="str">
        <x:v>Alta</x:v>
      </x:c>
      <x:c r="H4" s="197" t="str">
        <x:v>Non delegabile</x:v>
      </x:c>
      <x:c r="I4" s="197" t="str">
        <x:v>Sì</x:v>
      </x:c>
      <x:c r="J4" s="197" t="str">
        <x:v>Mensile</x:v>
      </x:c>
      <x:c r="K4" s="197"/>
      <x:c r="L4" s="197"/>
      <x:c r="M4" s="197" t="n">
        <x:v>2</x:v>
      </x:c>
      <x:c r="N4" s="204" t="n">
        <x:f>IF(M4&lt;&gt;"",M4,IF(AND(K4&lt;&gt;"",L4&lt;&gt;""),K4*L4/60,0))</x:f>
        <x:v>2</x:v>
      </x:c>
      <x:c r="O4" s="204" t="n">
        <x:f>IF(E4="Fabio",Impostazioni!$B$4,IF(E4="Frego",Impostazioni!$B$5,IF(E4="Jessica",Impostazioni!$B$6,0)))</x:f>
        <x:v>40</x:v>
      </x:c>
      <x:c r="P4" s="204" t="n">
        <x:f>N4*O4</x:f>
        <x:v>80</x:v>
      </x:c>
      <x:c r="Q4" s="197" t="str"/>
      <x:c r="R4" s="197" t="str">
        <x:v>Direzione strategica</x:v>
      </x:c>
    </x:row>
    <x:row r="5">
      <x:c r="A5" s="197" t="str">
        <x:v>Startupdata</x:v>
      </x:c>
      <x:c r="B5" s="197" t="str">
        <x:v>Setup iniziale</x:v>
      </x:c>
      <x:c r="C5" s="197" t="str">
        <x:v>LinkedIn</x:v>
      </x:c>
      <x:c r="D5" s="197" t="str">
        <x:v>Impostazione automazione richieste collegamento</x:v>
      </x:c>
      <x:c r="E5" s="197" t="str">
        <x:v>Fabio</x:v>
      </x:c>
      <x:c r="F5" s="197" t="str">
        <x:v>Fabio</x:v>
      </x:c>
      <x:c r="G5" s="197" t="str">
        <x:v>Alta</x:v>
      </x:c>
      <x:c r="H5" s="197" t="str">
        <x:v>Non delegabile</x:v>
      </x:c>
      <x:c r="I5" s="197" t="str">
        <x:v>Sì</x:v>
      </x:c>
      <x:c r="J5" s="197" t="str">
        <x:v>Mensile</x:v>
      </x:c>
      <x:c r="K5" s="197"/>
      <x:c r="L5" s="197"/>
      <x:c r="M5" s="197" t="n">
        <x:v>2</x:v>
      </x:c>
      <x:c r="N5" s="204" t="n">
        <x:f>IF(M5&lt;&gt;"",M5,IF(AND(K5&lt;&gt;"",L5&lt;&gt;""),K5*L5/60,0))</x:f>
        <x:v>2</x:v>
      </x:c>
      <x:c r="O5" s="204" t="n">
        <x:f>IF(E5="Fabio",Impostazioni!$B$4,IF(E5="Frego",Impostazioni!$B$5,IF(E5="Jessica",Impostazioni!$B$6,0)))</x:f>
        <x:v>40</x:v>
      </x:c>
      <x:c r="P5" s="204" t="n">
        <x:f>N5*O5</x:f>
        <x:v>80</x:v>
      </x:c>
      <x:c r="Q5" s="197" t="str"/>
      <x:c r="R5" s="197" t="str">
        <x:v>Automazione impostata da Fabio</x:v>
      </x:c>
    </x:row>
    <x:row r="6">
      <x:c r="A6" s="197" t="str">
        <x:v>Startupdata</x:v>
      </x:c>
      <x:c r="B6" s="197" t="str">
        <x:v>Delivery mensile</x:v>
      </x:c>
      <x:c r="C6" s="197" t="str">
        <x:v>LinkedIn</x:v>
      </x:c>
      <x:c r="D6" s="197" t="str">
        <x:v>Controllo automazione LinkedIn</x:v>
      </x:c>
      <x:c r="E6" s="197" t="str">
        <x:v>Fabio</x:v>
      </x:c>
      <x:c r="F6" s="197" t="str">
        <x:v>Fabio</x:v>
      </x:c>
      <x:c r="G6" s="197" t="str">
        <x:v>Alta</x:v>
      </x:c>
      <x:c r="H6" s="197" t="str">
        <x:v>Delegabile in futuro</x:v>
      </x:c>
      <x:c r="I6" s="197" t="str">
        <x:v>Sì</x:v>
      </x:c>
      <x:c r="J6" s="197" t="str">
        <x:v>Settimanale</x:v>
      </x:c>
      <x:c r="K6" s="197" t="n">
        <x:v>20</x:v>
      </x:c>
      <x:c r="L6" s="197" t="n">
        <x:v>4</x:v>
      </x:c>
      <x:c r="M6" s="197"/>
      <x:c r="N6" s="204" t="n">
        <x:f>IF(M6&lt;&gt;"",M6,IF(AND(K6&lt;&gt;"",L6&lt;&gt;""),K6*L6/60,0))</x:f>
        <x:v>1.3333333333333333</x:v>
      </x:c>
      <x:c r="O6" s="204" t="n">
        <x:f>IF(E6="Fabio",Impostazioni!$B$4,IF(E6="Frego",Impostazioni!$B$5,IF(E6="Jessica",Impostazioni!$B$6,0)))</x:f>
        <x:v>40</x:v>
      </x:c>
      <x:c r="P6" s="204" t="n">
        <x:f>N6*O6</x:f>
        <x:v>53.33333333333333</x:v>
      </x:c>
      <x:c r="Q6" s="197" t="str"/>
      <x:c r="R6" s="197" t="str"/>
    </x:row>
    <x:row r="7">
      <x:c r="A7" s="197" t="str">
        <x:v>Startupdata</x:v>
      </x:c>
      <x:c r="B7" s="197" t="str">
        <x:v>Delivery mensile</x:v>
      </x:c>
      <x:c r="C7" s="197" t="str">
        <x:v>LinkedIn</x:v>
      </x:c>
      <x:c r="D7" s="197" t="str">
        <x:v>Risposte ai messaggi LinkedIn in entrata</x:v>
      </x:c>
      <x:c r="E7" s="197" t="str">
        <x:v>Fabio</x:v>
      </x:c>
      <x:c r="F7" s="197" t="str">
        <x:v>Jessica</x:v>
      </x:c>
      <x:c r="G7" s="197" t="str">
        <x:v>Alta</x:v>
      </x:c>
      <x:c r="H7" s="197" t="str">
        <x:v>Delegabile con procedura</x:v>
      </x:c>
      <x:c r="I7" s="197" t="str">
        <x:v>Sì</x:v>
      </x:c>
      <x:c r="J7" s="197" t="str">
        <x:v>Giornaliera</x:v>
      </x:c>
      <x:c r="K7" s="197" t="n">
        <x:v>30</x:v>
      </x:c>
      <x:c r="L7" s="197" t="n">
        <x:v>22</x:v>
      </x:c>
      <x:c r="M7" s="197"/>
      <x:c r="N7" s="204" t="n">
        <x:f>IF(M7&lt;&gt;"",M7,IF(AND(K7&lt;&gt;"",L7&lt;&gt;""),K7*L7/60,0))</x:f>
        <x:v>11</x:v>
      </x:c>
      <x:c r="O7" s="204" t="n">
        <x:f>IF(E7="Fabio",Impostazioni!$B$4,IF(E7="Frego",Impostazioni!$B$5,IF(E7="Jessica",Impostazioni!$B$6,0)))</x:f>
        <x:v>40</x:v>
      </x:c>
      <x:c r="P7" s="204" t="n">
        <x:f>N7*O7</x:f>
        <x:v>440</x:v>
      </x:c>
      <x:c r="Q7" s="197" t="str"/>
      <x:c r="R7" s="197" t="str">
        <x:v>Da passare a Jessica</x:v>
      </x:c>
    </x:row>
    <x:row r="8">
      <x:c r="A8" s="197" t="str">
        <x:v>Startupdata</x:v>
      </x:c>
      <x:c r="B8" s="197" t="str">
        <x:v>Delivery mensile</x:v>
      </x:c>
      <x:c r="C8" s="197" t="str">
        <x:v>LinkedIn</x:v>
      </x:c>
      <x:c r="D8" s="197" t="str">
        <x:v>Qualifica conversazioni LinkedIn</x:v>
      </x:c>
      <x:c r="E8" s="197" t="str">
        <x:v>Fabio</x:v>
      </x:c>
      <x:c r="F8" s="197" t="str">
        <x:v>Jessica</x:v>
      </x:c>
      <x:c r="G8" s="197" t="str">
        <x:v>Alta</x:v>
      </x:c>
      <x:c r="H8" s="197" t="str">
        <x:v>Delegabile con procedura</x:v>
      </x:c>
      <x:c r="I8" s="197" t="str">
        <x:v>Sì</x:v>
      </x:c>
      <x:c r="J8" s="197" t="str">
        <x:v>Giornaliera</x:v>
      </x:c>
      <x:c r="K8" s="197" t="n">
        <x:v>20</x:v>
      </x:c>
      <x:c r="L8" s="197" t="n">
        <x:v>22</x:v>
      </x:c>
      <x:c r="M8" s="197"/>
      <x:c r="N8" s="204" t="n">
        <x:f>IF(M8&lt;&gt;"",M8,IF(AND(K8&lt;&gt;"",L8&lt;&gt;""),K8*L8/60,0))</x:f>
        <x:v>7.333333333333333</x:v>
      </x:c>
      <x:c r="O8" s="204" t="n">
        <x:f>IF(E8="Fabio",Impostazioni!$B$4,IF(E8="Frego",Impostazioni!$B$5,IF(E8="Jessica",Impostazioni!$B$6,0)))</x:f>
        <x:v>40</x:v>
      </x:c>
      <x:c r="P8" s="204" t="n">
        <x:f>N8*O8</x:f>
        <x:v>293.3333333333333</x:v>
      </x:c>
      <x:c r="Q8" s="197" t="str"/>
      <x:c r="R8" s="197" t="str">
        <x:v>Da standardizzare con script</x:v>
      </x:c>
    </x:row>
    <x:row r="9">
      <x:c r="A9" s="197" t="str">
        <x:v>Startupdata</x:v>
      </x:c>
      <x:c r="B9" s="197" t="str">
        <x:v>Delivery mensile</x:v>
      </x:c>
      <x:c r="C9" s="197" t="str">
        <x:v>LinkedIn</x:v>
      </x:c>
      <x:c r="D9" s="197" t="str">
        <x:v>Fissaggio appuntamenti da LinkedIn</x:v>
      </x:c>
      <x:c r="E9" s="197" t="str">
        <x:v>Fabio</x:v>
      </x:c>
      <x:c r="F9" s="197" t="str">
        <x:v>Jessica</x:v>
      </x:c>
      <x:c r="G9" s="197" t="str">
        <x:v>Alta</x:v>
      </x:c>
      <x:c r="H9" s="197" t="str">
        <x:v>Delegabile con procedura</x:v>
      </x:c>
      <x:c r="I9" s="197" t="str">
        <x:v>Sì</x:v>
      </x:c>
      <x:c r="J9" s="197" t="str">
        <x:v>Settimanale</x:v>
      </x:c>
      <x:c r="K9" s="197" t="n">
        <x:v>45</x:v>
      </x:c>
      <x:c r="L9" s="197" t="n">
        <x:v>4</x:v>
      </x:c>
      <x:c r="M9" s="197"/>
      <x:c r="N9" s="204" t="n">
        <x:f>IF(M9&lt;&gt;"",M9,IF(AND(K9&lt;&gt;"",L9&lt;&gt;""),K9*L9/60,0))</x:f>
        <x:v>3</x:v>
      </x:c>
      <x:c r="O9" s="204" t="n">
        <x:f>IF(E9="Fabio",Impostazioni!$B$4,IF(E9="Frego",Impostazioni!$B$5,IF(E9="Jessica",Impostazioni!$B$6,0)))</x:f>
        <x:v>40</x:v>
      </x:c>
      <x:c r="P9" s="204" t="n">
        <x:f>N9*O9</x:f>
        <x:v>120</x:v>
      </x:c>
      <x:c r="Q9" s="197" t="str"/>
      <x:c r="R9" s="197" t="str"/>
    </x:row>
    <x:row r="10">
      <x:c r="A10" s="197" t="str">
        <x:v>Startupdata</x:v>
      </x:c>
      <x:c r="B10" s="197" t="str">
        <x:v>Delivery mensile</x:v>
      </x:c>
      <x:c r="C10" s="197" t="str">
        <x:v>CRM</x:v>
      </x:c>
      <x:c r="D10" s="197" t="str">
        <x:v>Aggiornamento CRM LinkedIn/appuntamenti</x:v>
      </x:c>
      <x:c r="E10" s="197" t="str">
        <x:v>Fabio</x:v>
      </x:c>
      <x:c r="F10" s="197" t="str">
        <x:v>Jessica</x:v>
      </x:c>
      <x:c r="G10" s="197" t="str">
        <x:v>Alta</x:v>
      </x:c>
      <x:c r="H10" s="197" t="str">
        <x:v>Delegabile con procedura</x:v>
      </x:c>
      <x:c r="I10" s="197" t="str">
        <x:v>Sì</x:v>
      </x:c>
      <x:c r="J10" s="197" t="str">
        <x:v>Settimanale</x:v>
      </x:c>
      <x:c r="K10" s="197" t="n">
        <x:v>45</x:v>
      </x:c>
      <x:c r="L10" s="197" t="n">
        <x:v>4</x:v>
      </x:c>
      <x:c r="M10" s="197"/>
      <x:c r="N10" s="204" t="n">
        <x:f>IF(M10&lt;&gt;"",M10,IF(AND(K10&lt;&gt;"",L10&lt;&gt;""),K10*L10/60,0))</x:f>
        <x:v>3</x:v>
      </x:c>
      <x:c r="O10" s="204" t="n">
        <x:f>IF(E10="Fabio",Impostazioni!$B$4,IF(E10="Frego",Impostazioni!$B$5,IF(E10="Jessica",Impostazioni!$B$6,0)))</x:f>
        <x:v>40</x:v>
      </x:c>
      <x:c r="P10" s="204" t="n">
        <x:f>N10*O10</x:f>
        <x:v>120</x:v>
      </x:c>
      <x:c r="Q10" s="197" t="str"/>
      <x:c r="R10" s="197" t="str"/>
    </x:row>
    <x:row r="11">
      <x:c r="A11" s="197" t="str">
        <x:v>Startupdata</x:v>
      </x:c>
      <x:c r="B11" s="197" t="str">
        <x:v>Delivery mensile</x:v>
      </x:c>
      <x:c r="C11" s="197" t="str">
        <x:v>CRM</x:v>
      </x:c>
      <x:c r="D11" s="197" t="str">
        <x:v>Calendario e comunicazione appuntamenti al cliente</x:v>
      </x:c>
      <x:c r="E11" s="197" t="str">
        <x:v>Fabio</x:v>
      </x:c>
      <x:c r="F11" s="197" t="str">
        <x:v>Jessica</x:v>
      </x:c>
      <x:c r="G11" s="197" t="str">
        <x:v>Alta</x:v>
      </x:c>
      <x:c r="H11" s="197" t="str">
        <x:v>Delegabile con procedura</x:v>
      </x:c>
      <x:c r="I11" s="197" t="str">
        <x:v>Sì</x:v>
      </x:c>
      <x:c r="J11" s="197" t="str">
        <x:v>Settimanale</x:v>
      </x:c>
      <x:c r="K11" s="197" t="n">
        <x:v>30</x:v>
      </x:c>
      <x:c r="L11" s="197" t="n">
        <x:v>4</x:v>
      </x:c>
      <x:c r="M11" s="197"/>
      <x:c r="N11" s="204" t="n">
        <x:f>IF(M11&lt;&gt;"",M11,IF(AND(K11&lt;&gt;"",L11&lt;&gt;""),K11*L11/60,0))</x:f>
        <x:v>2</x:v>
      </x:c>
      <x:c r="O11" s="204" t="n">
        <x:f>IF(E11="Fabio",Impostazioni!$B$4,IF(E11="Frego",Impostazioni!$B$5,IF(E11="Jessica",Impostazioni!$B$6,0)))</x:f>
        <x:v>40</x:v>
      </x:c>
      <x:c r="P11" s="204" t="n">
        <x:f>N11*O11</x:f>
        <x:v>80</x:v>
      </x:c>
      <x:c r="Q11" s="197" t="str"/>
      <x:c r="R11" s="197" t="str"/>
    </x:row>
    <x:row r="12">
      <x:c r="A12" s="197" t="str">
        <x:v>Startupdata</x:v>
      </x:c>
      <x:c r="B12" s="197" t="str">
        <x:v>Delivery mensile</x:v>
      </x:c>
      <x:c r="C12" s="197" t="str">
        <x:v>Follow-up</x:v>
      </x:c>
      <x:c r="D12" s="197" t="str">
        <x:v>Follow-up post call</x:v>
      </x:c>
      <x:c r="E12" s="197" t="str">
        <x:v>Jessica</x:v>
      </x:c>
      <x:c r="F12" s="197" t="str">
        <x:v>Jessica</x:v>
      </x:c>
      <x:c r="G12" s="197" t="str">
        <x:v>Alta</x:v>
      </x:c>
      <x:c r="H12" s="197" t="str">
        <x:v>Delegabile subito</x:v>
      </x:c>
      <x:c r="I12" s="197" t="str">
        <x:v>Sì</x:v>
      </x:c>
      <x:c r="J12" s="197" t="str">
        <x:v>Settimanale</x:v>
      </x:c>
      <x:c r="K12" s="197" t="n">
        <x:v>60</x:v>
      </x:c>
      <x:c r="L12" s="197" t="n">
        <x:v>4</x:v>
      </x:c>
      <x:c r="M12" s="197"/>
      <x:c r="N12" s="204" t="n">
        <x:f>IF(M12&lt;&gt;"",M12,IF(AND(K12&lt;&gt;"",L12&lt;&gt;""),K12*L12/60,0))</x:f>
        <x:v>4</x:v>
      </x:c>
      <x:c r="O12" s="204" t="n">
        <x:f>IF(E12="Fabio",Impostazioni!$B$4,IF(E12="Frego",Impostazioni!$B$5,IF(E12="Jessica",Impostazioni!$B$6,0)))</x:f>
        <x:v>0</x:v>
      </x:c>
      <x:c r="P12" s="204" t="n">
        <x:f>N12*O12</x:f>
        <x:v>0</x:v>
      </x:c>
      <x:c r="Q12" s="197" t="str"/>
      <x:c r="R12" s="197" t="str">
        <x:v>Già gestito da Jessica</x:v>
      </x:c>
    </x:row>
    <x:row r="13">
      <x:c r="A13" s="197" t="str">
        <x:v>Startupdata</x:v>
      </x:c>
      <x:c r="B13" s="197" t="str">
        <x:v>Delivery mensile</x:v>
      </x:c>
      <x:c r="C13" s="197" t="str">
        <x:v>Qualifica</x:v>
      </x:c>
      <x:c r="D13" s="197" t="str">
        <x:v>Chiamate nominativi ads</x:v>
      </x:c>
      <x:c r="E13" s="197" t="str">
        <x:v>Jessica</x:v>
      </x:c>
      <x:c r="F13" s="197" t="str">
        <x:v>Jessica</x:v>
      </x:c>
      <x:c r="G13" s="197" t="str">
        <x:v>Alta</x:v>
      </x:c>
      <x:c r="H13" s="197" t="str">
        <x:v>Delegabile subito</x:v>
      </x:c>
      <x:c r="I13" s="197" t="str">
        <x:v>Sì</x:v>
      </x:c>
      <x:c r="J13" s="197" t="str">
        <x:v>Giornaliera</x:v>
      </x:c>
      <x:c r="K13" s="197" t="n">
        <x:v>30</x:v>
      </x:c>
      <x:c r="L13" s="197" t="n">
        <x:v>22</x:v>
      </x:c>
      <x:c r="M13" s="197"/>
      <x:c r="N13" s="204" t="n">
        <x:f>IF(M13&lt;&gt;"",M13,IF(AND(K13&lt;&gt;"",L13&lt;&gt;""),K13*L13/60,0))</x:f>
        <x:v>11</x:v>
      </x:c>
      <x:c r="O13" s="204" t="n">
        <x:f>IF(E13="Fabio",Impostazioni!$B$4,IF(E13="Frego",Impostazioni!$B$5,IF(E13="Jessica",Impostazioni!$B$6,0)))</x:f>
        <x:v>0</x:v>
      </x:c>
      <x:c r="P13" s="204" t="n">
        <x:f>N13*O13</x:f>
        <x:v>0</x:v>
      </x:c>
      <x:c r="Q13" s="197" t="str"/>
      <x:c r="R13" s="197" t="str">
        <x:v>Media 3 nominativi/giorno</x:v>
      </x:c>
    </x:row>
    <x:row r="14">
      <x:c r="A14" s="197" t="str">
        <x:v>Startupdata</x:v>
      </x:c>
      <x:c r="B14" s="197" t="str">
        <x:v>Delivery mensile</x:v>
      </x:c>
      <x:c r="C14" s="197" t="str">
        <x:v>CRM</x:v>
      </x:c>
      <x:c r="D14" s="197" t="str">
        <x:v>Compilazione CRM dopo chiamate ads</x:v>
      </x:c>
      <x:c r="E14" s="197" t="str">
        <x:v>Jessica</x:v>
      </x:c>
      <x:c r="F14" s="197" t="str">
        <x:v>Jessica</x:v>
      </x:c>
      <x:c r="G14" s="197" t="str">
        <x:v>Alta</x:v>
      </x:c>
      <x:c r="H14" s="197" t="str">
        <x:v>Delegabile subito</x:v>
      </x:c>
      <x:c r="I14" s="197" t="str">
        <x:v>Sì</x:v>
      </x:c>
      <x:c r="J14" s="197" t="str">
        <x:v>Giornaliera</x:v>
      </x:c>
      <x:c r="K14" s="197" t="n">
        <x:v>30</x:v>
      </x:c>
      <x:c r="L14" s="197" t="n">
        <x:v>22</x:v>
      </x:c>
      <x:c r="M14" s="197"/>
      <x:c r="N14" s="204" t="n">
        <x:f>IF(M14&lt;&gt;"",M14,IF(AND(K14&lt;&gt;"",L14&lt;&gt;""),K14*L14/60,0))</x:f>
        <x:v>11</x:v>
      </x:c>
      <x:c r="O14" s="204" t="n">
        <x:f>IF(E14="Fabio",Impostazioni!$B$4,IF(E14="Frego",Impostazioni!$B$5,IF(E14="Jessica",Impostazioni!$B$6,0)))</x:f>
        <x:v>0</x:v>
      </x:c>
      <x:c r="P14" s="204" t="n">
        <x:f>N14*O14</x:f>
        <x:v>0</x:v>
      </x:c>
      <x:c r="Q14" s="197" t="str"/>
      <x:c r="R14" s="197" t="str"/>
    </x:row>
    <x:row r="15">
      <x:c r="A15" s="197" t="str">
        <x:v>Startupdata</x:v>
      </x:c>
      <x:c r="B15" s="197" t="str">
        <x:v>Delivery mensile</x:v>
      </x:c>
      <x:c r="C15" s="197" t="str">
        <x:v>Ads</x:v>
      </x:c>
      <x:c r="D15" s="197" t="str">
        <x:v>Strategia e gestione Meta Ads</x:v>
      </x:c>
      <x:c r="E15" s="197" t="str">
        <x:v>Fabio</x:v>
      </x:c>
      <x:c r="F15" s="197" t="str">
        <x:v>Fabio</x:v>
      </x:c>
      <x:c r="G15" s="197" t="str">
        <x:v>Alta</x:v>
      </x:c>
      <x:c r="H15" s="197" t="str">
        <x:v>Non delegabile</x:v>
      </x:c>
      <x:c r="I15" s="197" t="str">
        <x:v>Sì</x:v>
      </x:c>
      <x:c r="J15" s="197" t="str">
        <x:v>Settimanale</x:v>
      </x:c>
      <x:c r="K15" s="197" t="n">
        <x:v>60</x:v>
      </x:c>
      <x:c r="L15" s="197" t="n">
        <x:v>4</x:v>
      </x:c>
      <x:c r="M15" s="197"/>
      <x:c r="N15" s="204" t="n">
        <x:f>IF(M15&lt;&gt;"",M15,IF(AND(K15&lt;&gt;"",L15&lt;&gt;""),K15*L15/60,0))</x:f>
        <x:v>4</x:v>
      </x:c>
      <x:c r="O15" s="204" t="n">
        <x:f>IF(E15="Fabio",Impostazioni!$B$4,IF(E15="Frego",Impostazioni!$B$5,IF(E15="Jessica",Impostazioni!$B$6,0)))</x:f>
        <x:v>40</x:v>
      </x:c>
      <x:c r="P15" s="204" t="n">
        <x:f>N15*O15</x:f>
        <x:v>160</x:v>
      </x:c>
      <x:c r="Q15" s="197" t="str"/>
      <x:c r="R15" s="197" t="str"/>
    </x:row>
    <x:row r="16">
      <x:c r="A16" s="197" t="str">
        <x:v>Startupdata</x:v>
      </x:c>
      <x:c r="B16" s="197" t="str">
        <x:v>Delivery mensile</x:v>
      </x:c>
      <x:c r="C16" s="197" t="str">
        <x:v>Ads</x:v>
      </x:c>
      <x:c r="D16" s="197" t="str">
        <x:v>Controllo e ottimizzazione campagne</x:v>
      </x:c>
      <x:c r="E16" s="197" t="str">
        <x:v>Fabio</x:v>
      </x:c>
      <x:c r="F16" s="197" t="str">
        <x:v>Fabio</x:v>
      </x:c>
      <x:c r="G16" s="197" t="str">
        <x:v>Alta</x:v>
      </x:c>
      <x:c r="H16" s="197" t="str">
        <x:v>Non delegabile</x:v>
      </x:c>
      <x:c r="I16" s="197" t="str">
        <x:v>Sì</x:v>
      </x:c>
      <x:c r="J16" s="197" t="str">
        <x:v>Settimanale</x:v>
      </x:c>
      <x:c r="K16" s="197" t="n">
        <x:v>45</x:v>
      </x:c>
      <x:c r="L16" s="197" t="n">
        <x:v>4</x:v>
      </x:c>
      <x:c r="M16" s="197"/>
      <x:c r="N16" s="204" t="n">
        <x:f>IF(M16&lt;&gt;"",M16,IF(AND(K16&lt;&gt;"",L16&lt;&gt;""),K16*L16/60,0))</x:f>
        <x:v>3</x:v>
      </x:c>
      <x:c r="O16" s="204" t="n">
        <x:f>IF(E16="Fabio",Impostazioni!$B$4,IF(E16="Frego",Impostazioni!$B$5,IF(E16="Jessica",Impostazioni!$B$6,0)))</x:f>
        <x:v>40</x:v>
      </x:c>
      <x:c r="P16" s="204" t="n">
        <x:f>N16*O16</x:f>
        <x:v>120</x:v>
      </x:c>
      <x:c r="Q16" s="197" t="str"/>
      <x:c r="R16" s="197" t="str"/>
    </x:row>
    <x:row r="17">
      <x:c r="A17" s="197" t="str">
        <x:v>Startupdata</x:v>
      </x:c>
      <x:c r="B17" s="197" t="str">
        <x:v>Delivery mensile</x:v>
      </x:c>
      <x:c r="C17" s="197" t="str">
        <x:v>Report</x:v>
      </x:c>
      <x:c r="D17" s="197" t="str">
        <x:v>Report ads/sistema e review cliente</x:v>
      </x:c>
      <x:c r="E17" s="197" t="str">
        <x:v>Fabio</x:v>
      </x:c>
      <x:c r="F17" s="197" t="str">
        <x:v>Fabio</x:v>
      </x:c>
      <x:c r="G17" s="197" t="str">
        <x:v>Alta</x:v>
      </x:c>
      <x:c r="H17" s="197" t="str">
        <x:v>Non delegabile</x:v>
      </x:c>
      <x:c r="I17" s="197" t="str">
        <x:v>Sì</x:v>
      </x:c>
      <x:c r="J17" s="197" t="str">
        <x:v>Mensile</x:v>
      </x:c>
      <x:c r="K17" s="197"/>
      <x:c r="L17" s="197"/>
      <x:c r="M17" s="197" t="n">
        <x:v>3</x:v>
      </x:c>
      <x:c r="N17" s="204" t="n">
        <x:f>IF(M17&lt;&gt;"",M17,IF(AND(K17&lt;&gt;"",L17&lt;&gt;""),K17*L17/60,0))</x:f>
        <x:v>3</x:v>
      </x:c>
      <x:c r="O17" s="204" t="n">
        <x:f>IF(E17="Fabio",Impostazioni!$B$4,IF(E17="Frego",Impostazioni!$B$5,IF(E17="Jessica",Impostazioni!$B$6,0)))</x:f>
        <x:v>40</x:v>
      </x:c>
      <x:c r="P17" s="204" t="n">
        <x:f>N17*O17</x:f>
        <x:v>120</x:v>
      </x:c>
      <x:c r="Q17" s="197" t="str"/>
      <x:c r="R17" s="197" t="str"/>
    </x:row>
    <x:row r="18">
      <x:c r="A18" s="197" t="str">
        <x:v>Startupdata</x:v>
      </x:c>
      <x:c r="B18" s="197" t="str">
        <x:v>Delivery mensile</x:v>
      </x:c>
      <x:c r="C18" s="197" t="str">
        <x:v>Contenuti</x:v>
      </x:c>
      <x:c r="D18" s="197" t="str">
        <x:v>Strategia contenuti cliente</x:v>
      </x:c>
      <x:c r="E18" s="197" t="str">
        <x:v>Fabio</x:v>
      </x:c>
      <x:c r="F18" s="197" t="str">
        <x:v>Fabio</x:v>
      </x:c>
      <x:c r="G18" s="197" t="str">
        <x:v>Media</x:v>
      </x:c>
      <x:c r="H18" s="197" t="str">
        <x:v>Non delegabile</x:v>
      </x:c>
      <x:c r="I18" s="197" t="str">
        <x:v>Sì</x:v>
      </x:c>
      <x:c r="J18" s="197" t="str">
        <x:v>Mensile</x:v>
      </x:c>
      <x:c r="K18" s="197"/>
      <x:c r="L18" s="197"/>
      <x:c r="M18" s="197" t="n">
        <x:v>2</x:v>
      </x:c>
      <x:c r="N18" s="204" t="n">
        <x:f>IF(M18&lt;&gt;"",M18,IF(AND(K18&lt;&gt;"",L18&lt;&gt;""),K18*L18/60,0))</x:f>
        <x:v>2</x:v>
      </x:c>
      <x:c r="O18" s="204" t="n">
        <x:f>IF(E18="Fabio",Impostazioni!$B$4,IF(E18="Frego",Impostazioni!$B$5,IF(E18="Jessica",Impostazioni!$B$6,0)))</x:f>
        <x:v>40</x:v>
      </x:c>
      <x:c r="P18" s="204" t="n">
        <x:f>N18*O18</x:f>
        <x:v>80</x:v>
      </x:c>
      <x:c r="Q18" s="197" t="str"/>
      <x:c r="R18" s="197" t="str"/>
    </x:row>
    <x:row r="19">
      <x:c r="A19" s="197" t="str">
        <x:v>Startupdata</x:v>
      </x:c>
      <x:c r="B19" s="197" t="str">
        <x:v>Delivery mensile</x:v>
      </x:c>
      <x:c r="C19" s="197" t="str">
        <x:v>Contenuti</x:v>
      </x:c>
      <x:c r="D19" s="197" t="str">
        <x:v>Testi/copy post LinkedIn</x:v>
      </x:c>
      <x:c r="E19" s="197" t="str">
        <x:v>Fabio</x:v>
      </x:c>
      <x:c r="F19" s="197" t="str">
        <x:v>Fabio</x:v>
      </x:c>
      <x:c r="G19" s="197" t="str">
        <x:v>Media</x:v>
      </x:c>
      <x:c r="H19" s="197" t="str">
        <x:v>Non delegabile</x:v>
      </x:c>
      <x:c r="I19" s="197" t="str">
        <x:v>Sì</x:v>
      </x:c>
      <x:c r="J19" s="197" t="str">
        <x:v>Settimanale</x:v>
      </x:c>
      <x:c r="K19" s="197" t="n">
        <x:v>60</x:v>
      </x:c>
      <x:c r="L19" s="197" t="n">
        <x:v>4</x:v>
      </x:c>
      <x:c r="M19" s="197"/>
      <x:c r="N19" s="204" t="n">
        <x:f>IF(M19&lt;&gt;"",M19,IF(AND(K19&lt;&gt;"",L19&lt;&gt;""),K19*L19/60,0))</x:f>
        <x:v>4</x:v>
      </x:c>
      <x:c r="O19" s="204" t="n">
        <x:f>IF(E19="Fabio",Impostazioni!$B$4,IF(E19="Frego",Impostazioni!$B$5,IF(E19="Jessica",Impostazioni!$B$6,0)))</x:f>
        <x:v>40</x:v>
      </x:c>
      <x:c r="P19" s="204" t="n">
        <x:f>N19*O19</x:f>
        <x:v>160</x:v>
      </x:c>
      <x:c r="Q19" s="197" t="str"/>
      <x:c r="R19" s="197" t="str">
        <x:v>2 post/settimana</x:v>
      </x:c>
    </x:row>
    <x:row r="20">
      <x:c r="A20" s="197" t="str">
        <x:v>Startupdata</x:v>
      </x:c>
      <x:c r="B20" s="197" t="str">
        <x:v>Delivery mensile</x:v>
      </x:c>
      <x:c r="C20" s="197" t="str">
        <x:v>Contenuti</x:v>
      </x:c>
      <x:c r="D20" s="197" t="str">
        <x:v>Grafiche post</x:v>
      </x:c>
      <x:c r="E20" s="197" t="str">
        <x:v>Frego</x:v>
      </x:c>
      <x:c r="F20" s="197" t="str">
        <x:v>Frego</x:v>
      </x:c>
      <x:c r="G20" s="197" t="str">
        <x:v>Media</x:v>
      </x:c>
      <x:c r="H20" s="197" t="str">
        <x:v>Non delegabile</x:v>
      </x:c>
      <x:c r="I20" s="197" t="str">
        <x:v>Sì</x:v>
      </x:c>
      <x:c r="J20" s="197" t="str">
        <x:v>Settimanale</x:v>
      </x:c>
      <x:c r="K20" s="197" t="n">
        <x:v>45</x:v>
      </x:c>
      <x:c r="L20" s="197" t="n">
        <x:v>4</x:v>
      </x:c>
      <x:c r="M20" s="197"/>
      <x:c r="N20" s="204" t="n">
        <x:f>IF(M20&lt;&gt;"",M20,IF(AND(K20&lt;&gt;"",L20&lt;&gt;""),K20*L20/60,0))</x:f>
        <x:v>3</x:v>
      </x:c>
      <x:c r="O20" s="204" t="n">
        <x:f>IF(E20="Fabio",Impostazioni!$B$4,IF(E20="Frego",Impostazioni!$B$5,IF(E20="Jessica",Impostazioni!$B$6,0)))</x:f>
        <x:v>40</x:v>
      </x:c>
      <x:c r="P20" s="204" t="n">
        <x:f>N20*O20</x:f>
        <x:v>120</x:v>
      </x:c>
      <x:c r="Q20" s="197" t="str"/>
      <x:c r="R20" s="197" t="str"/>
    </x:row>
    <x:row r="21">
      <x:c r="A21" s="197" t="str">
        <x:v>Startupdata</x:v>
      </x:c>
      <x:c r="B21" s="197" t="str">
        <x:v>Delivery mensile</x:v>
      </x:c>
      <x:c r="C21" s="197" t="str">
        <x:v>Contenuti</x:v>
      </x:c>
      <x:c r="D21" s="197" t="str">
        <x:v>Programmazione post</x:v>
      </x:c>
      <x:c r="E21" s="197" t="str">
        <x:v>Fabio</x:v>
      </x:c>
      <x:c r="F21" s="197" t="str">
        <x:v>Fabio</x:v>
      </x:c>
      <x:c r="G21" s="197" t="str">
        <x:v>Media</x:v>
      </x:c>
      <x:c r="H21" s="197" t="str">
        <x:v>Non delegabile</x:v>
      </x:c>
      <x:c r="I21" s="197" t="str">
        <x:v>Sì</x:v>
      </x:c>
      <x:c r="J21" s="197" t="str">
        <x:v>Settimanale</x:v>
      </x:c>
      <x:c r="K21" s="197" t="n">
        <x:v>20</x:v>
      </x:c>
      <x:c r="L21" s="197" t="n">
        <x:v>4</x:v>
      </x:c>
      <x:c r="M21" s="197"/>
      <x:c r="N21" s="204" t="n">
        <x:f>IF(M21&lt;&gt;"",M21,IF(AND(K21&lt;&gt;"",L21&lt;&gt;""),K21*L21/60,0))</x:f>
        <x:v>1.3333333333333333</x:v>
      </x:c>
      <x:c r="O21" s="204" t="n">
        <x:f>IF(E21="Fabio",Impostazioni!$B$4,IF(E21="Frego",Impostazioni!$B$5,IF(E21="Jessica",Impostazioni!$B$6,0)))</x:f>
        <x:v>40</x:v>
      </x:c>
      <x:c r="P21" s="204" t="n">
        <x:f>N21*O21</x:f>
        <x:v>53.33333333333333</x:v>
      </x:c>
      <x:c r="Q21" s="197" t="str"/>
      <x:c r="R21" s="197" t="str"/>
    </x:row>
    <x:row r="22">
      <x:c r="A22" s="197" t="str">
        <x:v>Startupdata</x:v>
      </x:c>
      <x:c r="B22" s="197" t="str">
        <x:v>Delivery mensile</x:v>
      </x:c>
      <x:c r="C22" s="197" t="str">
        <x:v>Project management</x:v>
      </x:c>
      <x:c r="D22" s="197" t="str">
        <x:v>Comunicazione cliente e coordinamento</x:v>
      </x:c>
      <x:c r="E22" s="197" t="str">
        <x:v>Fabio</x:v>
      </x:c>
      <x:c r="F22" s="197" t="str">
        <x:v>Fabio</x:v>
      </x:c>
      <x:c r="G22" s="197" t="str">
        <x:v>Alta</x:v>
      </x:c>
      <x:c r="H22" s="197" t="str">
        <x:v>Non delegabile</x:v>
      </x:c>
      <x:c r="I22" s="197" t="str">
        <x:v>Sì</x:v>
      </x:c>
      <x:c r="J22" s="197" t="str">
        <x:v>Settimanale</x:v>
      </x:c>
      <x:c r="K22" s="197" t="n">
        <x:v>60</x:v>
      </x:c>
      <x:c r="L22" s="197" t="n">
        <x:v>4</x:v>
      </x:c>
      <x:c r="M22" s="197"/>
      <x:c r="N22" s="204" t="n">
        <x:f>IF(M22&lt;&gt;"",M22,IF(AND(K22&lt;&gt;"",L22&lt;&gt;""),K22*L22/60,0))</x:f>
        <x:v>4</x:v>
      </x:c>
      <x:c r="O22" s="204" t="n">
        <x:f>IF(E22="Fabio",Impostazioni!$B$4,IF(E22="Frego",Impostazioni!$B$5,IF(E22="Jessica",Impostazioni!$B$6,0)))</x:f>
        <x:v>40</x:v>
      </x:c>
      <x:c r="P22" s="204" t="n">
        <x:f>N22*O22</x:f>
        <x:v>160</x:v>
      </x:c>
      <x:c r="Q22" s="197" t="str"/>
      <x:c r="R22" s="197" t="str"/>
    </x:row>
    <x:row r="23">
      <x:c r="A23" s="197" t="str">
        <x:v>Startupdata</x:v>
      </x:c>
      <x:c r="B23" s="197" t="str">
        <x:v>Delivery mensile</x:v>
      </x:c>
      <x:c r="C23" s="197" t="str">
        <x:v>Project management</x:v>
      </x:c>
      <x:c r="D23" s="197" t="str">
        <x:v>Gestione/formazione Jessica</x:v>
      </x:c>
      <x:c r="E23" s="197" t="str">
        <x:v>Fabio</x:v>
      </x:c>
      <x:c r="F23" s="197" t="str">
        <x:v>Fabio</x:v>
      </x:c>
      <x:c r="G23" s="197" t="str">
        <x:v>Media</x:v>
      </x:c>
      <x:c r="H23" s="197" t="str">
        <x:v>Delegabile in futuro</x:v>
      </x:c>
      <x:c r="I23" s="197" t="str">
        <x:v>Sì</x:v>
      </x:c>
      <x:c r="J23" s="197" t="str">
        <x:v>Settimanale</x:v>
      </x:c>
      <x:c r="K23" s="197" t="n">
        <x:v>30</x:v>
      </x:c>
      <x:c r="L23" s="197" t="n">
        <x:v>4</x:v>
      </x:c>
      <x:c r="M23" s="197"/>
      <x:c r="N23" s="204" t="n">
        <x:f>IF(M23&lt;&gt;"",M23,IF(AND(K23&lt;&gt;"",L23&lt;&gt;""),K23*L23/60,0))</x:f>
        <x:v>2</x:v>
      </x:c>
      <x:c r="O23" s="204" t="n">
        <x:f>IF(E23="Fabio",Impostazioni!$B$4,IF(E23="Frego",Impostazioni!$B$5,IF(E23="Jessica",Impostazioni!$B$6,0)))</x:f>
        <x:v>40</x:v>
      </x:c>
      <x:c r="P23" s="204" t="n">
        <x:f>N23*O23</x:f>
        <x:v>80</x:v>
      </x:c>
      <x:c r="Q23" s="197" t="str"/>
      <x:c r="R23" s="197" t="str">
        <x:v>Può calare a regime</x:v>
      </x:c>
    </x:row>
    <x:row r="24">
      <x:c r="A24" s="197" t="str">
        <x:v>Mirko / Evolution</x:v>
      </x:c>
      <x:c r="B24" s="197" t="str">
        <x:v>Setup iniziale</x:v>
      </x:c>
      <x:c r="C24" s="197" t="str">
        <x:v>Strategia</x:v>
      </x:c>
      <x:c r="D24" s="197" t="str">
        <x:v>Strategia multicanale Mirko</x:v>
      </x:c>
      <x:c r="E24" s="197" t="str">
        <x:v>Fabio</x:v>
      </x:c>
      <x:c r="F24" s="197" t="str">
        <x:v>Fabio</x:v>
      </x:c>
      <x:c r="G24" s="197" t="str">
        <x:v>Alta</x:v>
      </x:c>
      <x:c r="H24" s="197" t="str">
        <x:v>Non delegabile</x:v>
      </x:c>
      <x:c r="I24" s="197" t="str">
        <x:v>Sì</x:v>
      </x:c>
      <x:c r="J24" s="197" t="str">
        <x:v>Mensile</x:v>
      </x:c>
      <x:c r="K24" s="197"/>
      <x:c r="L24" s="197"/>
      <x:c r="M24" s="197" t="n">
        <x:v>2</x:v>
      </x:c>
      <x:c r="N24" s="204" t="n">
        <x:f>IF(M24&lt;&gt;"",M24,IF(AND(K24&lt;&gt;"",L24&lt;&gt;""),K24*L24/60,0))</x:f>
        <x:v>2</x:v>
      </x:c>
      <x:c r="O24" s="204" t="n">
        <x:f>IF(E24="Fabio",Impostazioni!$B$4,IF(E24="Frego",Impostazioni!$B$5,IF(E24="Jessica",Impostazioni!$B$6,0)))</x:f>
        <x:v>40</x:v>
      </x:c>
      <x:c r="P24" s="204" t="n">
        <x:f>N24*O24</x:f>
        <x:v>80</x:v>
      </x:c>
      <x:c r="Q24" s="197" t="str"/>
      <x:c r="R24" s="197" t="str"/>
    </x:row>
    <x:row r="25">
      <x:c r="A25" s="197" t="str">
        <x:v>Mirko / Evolution</x:v>
      </x:c>
      <x:c r="B25" s="197" t="str">
        <x:v>Setup iniziale</x:v>
      </x:c>
      <x:c r="C25" s="197" t="str">
        <x:v>LinkedIn</x:v>
      </x:c>
      <x:c r="D25" s="197" t="str">
        <x:v>Ottimizzazione profilo LinkedIn</x:v>
      </x:c>
      <x:c r="E25" s="197" t="str">
        <x:v>Fabio</x:v>
      </x:c>
      <x:c r="F25" s="197" t="str">
        <x:v>Fabio</x:v>
      </x:c>
      <x:c r="G25" s="197" t="str">
        <x:v>Alta</x:v>
      </x:c>
      <x:c r="H25" s="197" t="str">
        <x:v>Non delegabile</x:v>
      </x:c>
      <x:c r="I25" s="197" t="str">
        <x:v>Sì</x:v>
      </x:c>
      <x:c r="J25" s="197" t="str">
        <x:v>Una tantum</x:v>
      </x:c>
      <x:c r="K25" s="197"/>
      <x:c r="L25" s="197"/>
      <x:c r="M25" s="197" t="n">
        <x:v>3</x:v>
      </x:c>
      <x:c r="N25" s="204" t="n">
        <x:f>IF(M25&lt;&gt;"",M25,IF(AND(K25&lt;&gt;"",L25&lt;&gt;""),K25*L25/60,0))</x:f>
        <x:v>3</x:v>
      </x:c>
      <x:c r="O25" s="204" t="n">
        <x:f>IF(E25="Fabio",Impostazioni!$B$4,IF(E25="Frego",Impostazioni!$B$5,IF(E25="Jessica",Impostazioni!$B$6,0)))</x:f>
        <x:v>40</x:v>
      </x:c>
      <x:c r="P25" s="204" t="n">
        <x:f>N25*O25</x:f>
        <x:v>120</x:v>
      </x:c>
      <x:c r="Q25" s="197" t="str"/>
      <x:c r="R25" s="197" t="str"/>
    </x:row>
    <x:row r="26">
      <x:c r="A26" s="197" t="str">
        <x:v>Mirko / Evolution</x:v>
      </x:c>
      <x:c r="B26" s="197" t="str">
        <x:v>Delivery mensile</x:v>
      </x:c>
      <x:c r="C26" s="197" t="str">
        <x:v>Contenuti</x:v>
      </x:c>
      <x:c r="D26" s="197" t="str">
        <x:v>Testi post LinkedIn</x:v>
      </x:c>
      <x:c r="E26" s="197" t="str">
        <x:v>Fabio</x:v>
      </x:c>
      <x:c r="F26" s="197" t="str">
        <x:v>Fabio</x:v>
      </x:c>
      <x:c r="G26" s="197" t="str">
        <x:v>Media</x:v>
      </x:c>
      <x:c r="H26" s="197" t="str">
        <x:v>Non delegabile</x:v>
      </x:c>
      <x:c r="I26" s="197" t="str">
        <x:v>Sì</x:v>
      </x:c>
      <x:c r="J26" s="197" t="str">
        <x:v>Settimanale</x:v>
      </x:c>
      <x:c r="K26" s="197" t="n">
        <x:v>60</x:v>
      </x:c>
      <x:c r="L26" s="197" t="n">
        <x:v>4</x:v>
      </x:c>
      <x:c r="M26" s="197"/>
      <x:c r="N26" s="204" t="n">
        <x:f>IF(M26&lt;&gt;"",M26,IF(AND(K26&lt;&gt;"",L26&lt;&gt;""),K26*L26/60,0))</x:f>
        <x:v>4</x:v>
      </x:c>
      <x:c r="O26" s="204" t="n">
        <x:f>IF(E26="Fabio",Impostazioni!$B$4,IF(E26="Frego",Impostazioni!$B$5,IF(E26="Jessica",Impostazioni!$B$6,0)))</x:f>
        <x:v>40</x:v>
      </x:c>
      <x:c r="P26" s="204" t="n">
        <x:f>N26*O26</x:f>
        <x:v>160</x:v>
      </x:c>
      <x:c r="Q26" s="197" t="str"/>
      <x:c r="R26" s="197" t="str">
        <x:v>2 post/settimana</x:v>
      </x:c>
    </x:row>
    <x:row r="27">
      <x:c r="A27" s="197" t="str">
        <x:v>Mirko / Evolution</x:v>
      </x:c>
      <x:c r="B27" s="197" t="str">
        <x:v>Delivery mensile</x:v>
      </x:c>
      <x:c r="C27" s="197" t="str">
        <x:v>Contenuti</x:v>
      </x:c>
      <x:c r="D27" s="197" t="str">
        <x:v>Grafiche/impaginazione post</x:v>
      </x:c>
      <x:c r="E27" s="197" t="str">
        <x:v>Frego</x:v>
      </x:c>
      <x:c r="F27" s="197" t="str">
        <x:v>Frego</x:v>
      </x:c>
      <x:c r="G27" s="197" t="str">
        <x:v>Media</x:v>
      </x:c>
      <x:c r="H27" s="197" t="str">
        <x:v>Non delegabile</x:v>
      </x:c>
      <x:c r="I27" s="197" t="str">
        <x:v>Sì</x:v>
      </x:c>
      <x:c r="J27" s="197" t="str">
        <x:v>Settimanale</x:v>
      </x:c>
      <x:c r="K27" s="197" t="n">
        <x:v>45</x:v>
      </x:c>
      <x:c r="L27" s="197" t="n">
        <x:v>4</x:v>
      </x:c>
      <x:c r="M27" s="197"/>
      <x:c r="N27" s="204" t="n">
        <x:f>IF(M27&lt;&gt;"",M27,IF(AND(K27&lt;&gt;"",L27&lt;&gt;""),K27*L27/60,0))</x:f>
        <x:v>3</x:v>
      </x:c>
      <x:c r="O27" s="204" t="n">
        <x:f>IF(E27="Fabio",Impostazioni!$B$4,IF(E27="Frego",Impostazioni!$B$5,IF(E27="Jessica",Impostazioni!$B$6,0)))</x:f>
        <x:v>40</x:v>
      </x:c>
      <x:c r="P27" s="204" t="n">
        <x:f>N27*O27</x:f>
        <x:v>120</x:v>
      </x:c>
      <x:c r="Q27" s="197" t="str"/>
      <x:c r="R27" s="197" t="str">
        <x:v>Se previste</x:v>
      </x:c>
    </x:row>
    <x:row r="28">
      <x:c r="A28" s="197" t="str">
        <x:v>Mirko / Evolution</x:v>
      </x:c>
      <x:c r="B28" s="197" t="str">
        <x:v>Setup iniziale</x:v>
      </x:c>
      <x:c r="C28" s="197" t="str">
        <x:v>Email</x:v>
      </x:c>
      <x:c r="D28" s="197" t="str">
        <x:v>Scraping/database target</x:v>
      </x:c>
      <x:c r="E28" s="197" t="str">
        <x:v>Frego</x:v>
      </x:c>
      <x:c r="F28" s="197" t="str">
        <x:v>Frego</x:v>
      </x:c>
      <x:c r="G28" s="197" t="str">
        <x:v>Alta</x:v>
      </x:c>
      <x:c r="H28" s="197" t="str">
        <x:v>Non delegabile</x:v>
      </x:c>
      <x:c r="I28" s="197" t="str">
        <x:v>Sì</x:v>
      </x:c>
      <x:c r="J28" s="197" t="str">
        <x:v>Mensile</x:v>
      </x:c>
      <x:c r="K28" s="197"/>
      <x:c r="L28" s="197"/>
      <x:c r="M28" s="197" t="n">
        <x:v>5</x:v>
      </x:c>
      <x:c r="N28" s="204" t="n">
        <x:f>IF(M28&lt;&gt;"",M28,IF(AND(K28&lt;&gt;"",L28&lt;&gt;""),K28*L28/60,0))</x:f>
        <x:v>5</x:v>
      </x:c>
      <x:c r="O28" s="204" t="n">
        <x:f>IF(E28="Fabio",Impostazioni!$B$4,IF(E28="Frego",Impostazioni!$B$5,IF(E28="Jessica",Impostazioni!$B$6,0)))</x:f>
        <x:v>40</x:v>
      </x:c>
      <x:c r="P28" s="204" t="n">
        <x:f>N28*O28</x:f>
        <x:v>200</x:v>
      </x:c>
      <x:c r="Q28" s="197" t="str"/>
      <x:c r="R28" s="197" t="str">
        <x:v>Fino a 2.000 contatti/mese da contratto</x:v>
      </x:c>
    </x:row>
    <x:row r="29">
      <x:c r="A29" s="197" t="str">
        <x:v>Mirko / Evolution</x:v>
      </x:c>
      <x:c r="B29" s="197" t="str">
        <x:v>Setup iniziale</x:v>
      </x:c>
      <x:c r="C29" s="197" t="str">
        <x:v>Email</x:v>
      </x:c>
      <x:c r="D29" s="197" t="str">
        <x:v>Setup/automazione campagna email</x:v>
      </x:c>
      <x:c r="E29" s="197" t="str">
        <x:v>Frego</x:v>
      </x:c>
      <x:c r="F29" s="197" t="str">
        <x:v>Frego</x:v>
      </x:c>
      <x:c r="G29" s="197" t="str">
        <x:v>Alta</x:v>
      </x:c>
      <x:c r="H29" s="197" t="str">
        <x:v>Non delegabile</x:v>
      </x:c>
      <x:c r="I29" s="197" t="str">
        <x:v>Sì</x:v>
      </x:c>
      <x:c r="J29" s="197" t="str">
        <x:v>Mensile</x:v>
      </x:c>
      <x:c r="K29" s="197"/>
      <x:c r="L29" s="197"/>
      <x:c r="M29" s="197" t="n">
        <x:v>3</x:v>
      </x:c>
      <x:c r="N29" s="204" t="n">
        <x:f>IF(M29&lt;&gt;"",M29,IF(AND(K29&lt;&gt;"",L29&lt;&gt;""),K29*L29/60,0))</x:f>
        <x:v>3</x:v>
      </x:c>
      <x:c r="O29" s="204" t="n">
        <x:f>IF(E29="Fabio",Impostazioni!$B$4,IF(E29="Frego",Impostazioni!$B$5,IF(E29="Jessica",Impostazioni!$B$6,0)))</x:f>
        <x:v>40</x:v>
      </x:c>
      <x:c r="P29" s="204" t="n">
        <x:f>N29*O29</x:f>
        <x:v>120</x:v>
      </x:c>
      <x:c r="Q29" s="197" t="str"/>
      <x:c r="R29" s="197" t="str"/>
    </x:row>
    <x:row r="30">
      <x:c r="A30" s="197" t="str">
        <x:v>Mirko / Evolution</x:v>
      </x:c>
      <x:c r="B30" s="197" t="str">
        <x:v>Delivery mensile</x:v>
      </x:c>
      <x:c r="C30" s="197" t="str">
        <x:v>Email</x:v>
      </x:c>
      <x:c r="D30" s="197" t="str">
        <x:v>Testi sequenza email</x:v>
      </x:c>
      <x:c r="E30" s="197" t="str">
        <x:v>Fabio</x:v>
      </x:c>
      <x:c r="F30" s="197" t="str">
        <x:v>Fabio</x:v>
      </x:c>
      <x:c r="G30" s="197" t="str">
        <x:v>Alta</x:v>
      </x:c>
      <x:c r="H30" s="197" t="str">
        <x:v>Non delegabile</x:v>
      </x:c>
      <x:c r="I30" s="197" t="str">
        <x:v>Sì</x:v>
      </x:c>
      <x:c r="J30" s="197" t="str">
        <x:v>Mensile</x:v>
      </x:c>
      <x:c r="K30" s="197"/>
      <x:c r="L30" s="197"/>
      <x:c r="M30" s="197" t="n">
        <x:v>3</x:v>
      </x:c>
      <x:c r="N30" s="204" t="n">
        <x:f>IF(M30&lt;&gt;"",M30,IF(AND(K30&lt;&gt;"",L30&lt;&gt;""),K30*L30/60,0))</x:f>
        <x:v>3</x:v>
      </x:c>
      <x:c r="O30" s="204" t="n">
        <x:f>IF(E30="Fabio",Impostazioni!$B$4,IF(E30="Frego",Impostazioni!$B$5,IF(E30="Jessica",Impostazioni!$B$6,0)))</x:f>
        <x:v>40</x:v>
      </x:c>
      <x:c r="P30" s="204" t="n">
        <x:f>N30*O30</x:f>
        <x:v>120</x:v>
      </x:c>
      <x:c r="Q30" s="197" t="str"/>
      <x:c r="R30" s="197" t="str">
        <x:v>Testi forniti da Fabio</x:v>
      </x:c>
    </x:row>
    <x:row r="31">
      <x:c r="A31" s="197" t="str">
        <x:v>Mirko / Evolution</x:v>
      </x:c>
      <x:c r="B31" s="197" t="str">
        <x:v>Delivery mensile</x:v>
      </x:c>
      <x:c r="C31" s="197" t="str">
        <x:v>Email</x:v>
      </x:c>
      <x:c r="D31" s="197" t="str">
        <x:v>Risposte email</x:v>
      </x:c>
      <x:c r="E31" s="197" t="str">
        <x:v>Fabio</x:v>
      </x:c>
      <x:c r="F31" s="197" t="str">
        <x:v>Fabio</x:v>
      </x:c>
      <x:c r="G31" s="197" t="str">
        <x:v>Alta</x:v>
      </x:c>
      <x:c r="H31" s="197" t="str">
        <x:v>Delegabile in futuro</x:v>
      </x:c>
      <x:c r="I31" s="197" t="str">
        <x:v>Sì</x:v>
      </x:c>
      <x:c r="J31" s="197" t="str">
        <x:v>Giornaliera</x:v>
      </x:c>
      <x:c r="K31" s="197" t="n">
        <x:v>20</x:v>
      </x:c>
      <x:c r="L31" s="197" t="n">
        <x:v>22</x:v>
      </x:c>
      <x:c r="M31" s="197"/>
      <x:c r="N31" s="204" t="n">
        <x:f>IF(M31&lt;&gt;"",M31,IF(AND(K31&lt;&gt;"",L31&lt;&gt;""),K31*L31/60,0))</x:f>
        <x:v>7.333333333333333</x:v>
      </x:c>
      <x:c r="O31" s="204" t="n">
        <x:f>IF(E31="Fabio",Impostazioni!$B$4,IF(E31="Frego",Impostazioni!$B$5,IF(E31="Jessica",Impostazioni!$B$6,0)))</x:f>
        <x:v>40</x:v>
      </x:c>
      <x:c r="P31" s="204" t="n">
        <x:f>N31*O31</x:f>
        <x:v>293.3333333333333</x:v>
      </x:c>
      <x:c r="Q31" s="197" t="str"/>
      <x:c r="R31" s="197" t="str"/>
    </x:row>
    <x:row r="32">
      <x:c r="A32" s="197" t="str">
        <x:v>Mirko / Evolution</x:v>
      </x:c>
      <x:c r="B32" s="197" t="str">
        <x:v>Delivery mensile</x:v>
      </x:c>
      <x:c r="C32" s="197" t="str">
        <x:v>LinkedIn</x:v>
      </x:c>
      <x:c r="D32" s="197" t="str">
        <x:v>Gestione conversazioni LinkedIn</x:v>
      </x:c>
      <x:c r="E32" s="197" t="str">
        <x:v>Fabio</x:v>
      </x:c>
      <x:c r="F32" s="197" t="str">
        <x:v>Fabio</x:v>
      </x:c>
      <x:c r="G32" s="197" t="str">
        <x:v>Alta</x:v>
      </x:c>
      <x:c r="H32" s="197" t="str">
        <x:v>Delegabile in futuro</x:v>
      </x:c>
      <x:c r="I32" s="197" t="str">
        <x:v>Sì</x:v>
      </x:c>
      <x:c r="J32" s="197" t="str">
        <x:v>Giornaliera</x:v>
      </x:c>
      <x:c r="K32" s="197" t="n">
        <x:v>25</x:v>
      </x:c>
      <x:c r="L32" s="197" t="n">
        <x:v>22</x:v>
      </x:c>
      <x:c r="M32" s="197"/>
      <x:c r="N32" s="204" t="n">
        <x:f>IF(M32&lt;&gt;"",M32,IF(AND(K32&lt;&gt;"",L32&lt;&gt;""),K32*L32/60,0))</x:f>
        <x:v>9.166666666666666</x:v>
      </x:c>
      <x:c r="O32" s="204" t="n">
        <x:f>IF(E32="Fabio",Impostazioni!$B$4,IF(E32="Frego",Impostazioni!$B$5,IF(E32="Jessica",Impostazioni!$B$6,0)))</x:f>
        <x:v>40</x:v>
      </x:c>
      <x:c r="P32" s="204" t="n">
        <x:f>N32*O32</x:f>
        <x:v>366.66666666666663</x:v>
      </x:c>
      <x:c r="Q32" s="197" t="str"/>
      <x:c r="R32" s="197" t="str"/>
    </x:row>
    <x:row r="33">
      <x:c r="A33" s="197" t="str">
        <x:v>Mirko / Evolution</x:v>
      </x:c>
      <x:c r="B33" s="197" t="str">
        <x:v>Delivery mensile</x:v>
      </x:c>
      <x:c r="C33" s="197" t="str">
        <x:v>WhatsApp</x:v>
      </x:c>
      <x:c r="D33" s="197" t="str">
        <x:v>Gestione conversazioni WhatsApp</x:v>
      </x:c>
      <x:c r="E33" s="197" t="str">
        <x:v>Fabio</x:v>
      </x:c>
      <x:c r="F33" s="197" t="str">
        <x:v>Fabio</x:v>
      </x:c>
      <x:c r="G33" s="197" t="str">
        <x:v>Alta</x:v>
      </x:c>
      <x:c r="H33" s="197" t="str">
        <x:v>Delegabile in futuro</x:v>
      </x:c>
      <x:c r="I33" s="197" t="str">
        <x:v>Sì</x:v>
      </x:c>
      <x:c r="J33" s="197" t="str">
        <x:v>Giornaliera</x:v>
      </x:c>
      <x:c r="K33" s="197" t="n">
        <x:v>20</x:v>
      </x:c>
      <x:c r="L33" s="197" t="n">
        <x:v>22</x:v>
      </x:c>
      <x:c r="M33" s="197"/>
      <x:c r="N33" s="204" t="n">
        <x:f>IF(M33&lt;&gt;"",M33,IF(AND(K33&lt;&gt;"",L33&lt;&gt;""),K33*L33/60,0))</x:f>
        <x:v>7.333333333333333</x:v>
      </x:c>
      <x:c r="O33" s="204" t="n">
        <x:f>IF(E33="Fabio",Impostazioni!$B$4,IF(E33="Frego",Impostazioni!$B$5,IF(E33="Jessica",Impostazioni!$B$6,0)))</x:f>
        <x:v>40</x:v>
      </x:c>
      <x:c r="P33" s="204" t="n">
        <x:f>N33*O33</x:f>
        <x:v>293.3333333333333</x:v>
      </x:c>
      <x:c r="Q33" s="197" t="str"/>
      <x:c r="R33" s="197" t="str">
        <x:v>Canale a performance</x:v>
      </x:c>
    </x:row>
    <x:row r="34">
      <x:c r="A34" s="197" t="str">
        <x:v>Mirko / Evolution</x:v>
      </x:c>
      <x:c r="B34" s="197" t="str">
        <x:v>Delivery mensile</x:v>
      </x:c>
      <x:c r="C34" s="197" t="str">
        <x:v>Qualifica</x:v>
      </x:c>
      <x:c r="D34" s="197" t="str">
        <x:v>Pre-qualifica in chat</x:v>
      </x:c>
      <x:c r="E34" s="197" t="str">
        <x:v>Fabio</x:v>
      </x:c>
      <x:c r="F34" s="197" t="str">
        <x:v>Fabio</x:v>
      </x:c>
      <x:c r="G34" s="197" t="str">
        <x:v>Alta</x:v>
      </x:c>
      <x:c r="H34" s="197" t="str">
        <x:v>Delegabile con procedura</x:v>
      </x:c>
      <x:c r="I34" s="197" t="str">
        <x:v>Sì</x:v>
      </x:c>
      <x:c r="J34" s="197" t="str">
        <x:v>Giornaliera</x:v>
      </x:c>
      <x:c r="K34" s="197" t="n">
        <x:v>20</x:v>
      </x:c>
      <x:c r="L34" s="197" t="n">
        <x:v>22</x:v>
      </x:c>
      <x:c r="M34" s="197"/>
      <x:c r="N34" s="204" t="n">
        <x:f>IF(M34&lt;&gt;"",M34,IF(AND(K34&lt;&gt;"",L34&lt;&gt;""),K34*L34/60,0))</x:f>
        <x:v>7.333333333333333</x:v>
      </x:c>
      <x:c r="O34" s="204" t="n">
        <x:f>IF(E34="Fabio",Impostazioni!$B$4,IF(E34="Frego",Impostazioni!$B$5,IF(E34="Jessica",Impostazioni!$B$6,0)))</x:f>
        <x:v>40</x:v>
      </x:c>
      <x:c r="P34" s="204" t="n">
        <x:f>N34*O34</x:f>
        <x:v>293.3333333333333</x:v>
      </x:c>
      <x:c r="Q34" s="197" t="str"/>
      <x:c r="R34" s="197" t="str"/>
    </x:row>
    <x:row r="35">
      <x:c r="A35" s="197" t="str">
        <x:v>Mirko / Evolution</x:v>
      </x:c>
      <x:c r="B35" s="197" t="str">
        <x:v>Delivery mensile</x:v>
      </x:c>
      <x:c r="C35" s="197" t="str">
        <x:v>CRM</x:v>
      </x:c>
      <x:c r="D35" s="197" t="str">
        <x:v>Aggiornamento log/offerte e CRM leggero</x:v>
      </x:c>
      <x:c r="E35" s="197" t="str">
        <x:v>Fabio</x:v>
      </x:c>
      <x:c r="F35" s="197" t="str">
        <x:v>Fabio</x:v>
      </x:c>
      <x:c r="G35" s="197" t="str">
        <x:v>Alta</x:v>
      </x:c>
      <x:c r="H35" s="197" t="str">
        <x:v>Delegabile in futuro</x:v>
      </x:c>
      <x:c r="I35" s="197" t="str">
        <x:v>Sì</x:v>
      </x:c>
      <x:c r="J35" s="197" t="str">
        <x:v>Settimanale</x:v>
      </x:c>
      <x:c r="K35" s="197" t="n">
        <x:v>60</x:v>
      </x:c>
      <x:c r="L35" s="197" t="n">
        <x:v>4</x:v>
      </x:c>
      <x:c r="M35" s="197"/>
      <x:c r="N35" s="204" t="n">
        <x:f>IF(M35&lt;&gt;"",M35,IF(AND(K35&lt;&gt;"",L35&lt;&gt;""),K35*L35/60,0))</x:f>
        <x:v>4</x:v>
      </x:c>
      <x:c r="O35" s="204" t="n">
        <x:f>IF(E35="Fabio",Impostazioni!$B$4,IF(E35="Frego",Impostazioni!$B$5,IF(E35="Jessica",Impostazioni!$B$6,0)))</x:f>
        <x:v>40</x:v>
      </x:c>
      <x:c r="P35" s="204" t="n">
        <x:f>N35*O35</x:f>
        <x:v>160</x:v>
      </x:c>
      <x:c r="Q35" s="197" t="str"/>
      <x:c r="R35" s="197" t="str">
        <x:v>CRM commerciale dopo appuntamento escluso</x:v>
      </x:c>
    </x:row>
    <x:row r="36">
      <x:c r="A36" s="197" t="str">
        <x:v>Mirko / Evolution</x:v>
      </x:c>
      <x:c r="B36" s="197" t="str">
        <x:v>Delivery mensile</x:v>
      </x:c>
      <x:c r="C36" s="197" t="str">
        <x:v>Project management</x:v>
      </x:c>
      <x:c r="D36" s="197" t="str">
        <x:v>Comunicazione cliente / project</x:v>
      </x:c>
      <x:c r="E36" s="197" t="str">
        <x:v>Fabio</x:v>
      </x:c>
      <x:c r="F36" s="197" t="str">
        <x:v>Fabio</x:v>
      </x:c>
      <x:c r="G36" s="197" t="str">
        <x:v>Alta</x:v>
      </x:c>
      <x:c r="H36" s="197" t="str">
        <x:v>Non delegabile</x:v>
      </x:c>
      <x:c r="I36" s="197" t="str">
        <x:v>Sì</x:v>
      </x:c>
      <x:c r="J36" s="197" t="str">
        <x:v>Settimanale</x:v>
      </x:c>
      <x:c r="K36" s="197" t="n">
        <x:v>60</x:v>
      </x:c>
      <x:c r="L36" s="197" t="n">
        <x:v>4</x:v>
      </x:c>
      <x:c r="M36" s="197"/>
      <x:c r="N36" s="204" t="n">
        <x:f>IF(M36&lt;&gt;"",M36,IF(AND(K36&lt;&gt;"",L36&lt;&gt;""),K36*L36/60,0))</x:f>
        <x:v>4</x:v>
      </x:c>
      <x:c r="O36" s="204" t="n">
        <x:f>IF(E36="Fabio",Impostazioni!$B$4,IF(E36="Frego",Impostazioni!$B$5,IF(E36="Jessica",Impostazioni!$B$6,0)))</x:f>
        <x:v>40</x:v>
      </x:c>
      <x:c r="P36" s="204" t="n">
        <x:f>N36*O36</x:f>
        <x:v>160</x:v>
      </x:c>
      <x:c r="Q36" s="197" t="str"/>
      <x:c r="R36" s="197" t="str"/>
    </x:row>
    <x:row r="37">
      <x:c r="A37" s="197" t="str">
        <x:v>Mirko / Evolution</x:v>
      </x:c>
      <x:c r="B37" s="197" t="str">
        <x:v>Delivery mensile</x:v>
      </x:c>
      <x:c r="C37" s="197" t="str">
        <x:v>Report</x:v>
      </x:c>
      <x:c r="D37" s="197" t="str">
        <x:v>Report settimanale/mensile e log offerte</x:v>
      </x:c>
      <x:c r="E37" s="197" t="str">
        <x:v>Fabio</x:v>
      </x:c>
      <x:c r="F37" s="197" t="str">
        <x:v>Fabio</x:v>
      </x:c>
      <x:c r="G37" s="197" t="str">
        <x:v>Alta</x:v>
      </x:c>
      <x:c r="H37" s="197" t="str">
        <x:v>Non delegabile</x:v>
      </x:c>
      <x:c r="I37" s="197" t="str">
        <x:v>Sì</x:v>
      </x:c>
      <x:c r="J37" s="197" t="str">
        <x:v>Mensile</x:v>
      </x:c>
      <x:c r="K37" s="197"/>
      <x:c r="L37" s="197"/>
      <x:c r="M37" s="197" t="n">
        <x:v>4</x:v>
      </x:c>
      <x:c r="N37" s="204" t="n">
        <x:f>IF(M37&lt;&gt;"",M37,IF(AND(K37&lt;&gt;"",L37&lt;&gt;""),K37*L37/60,0))</x:f>
        <x:v>4</x:v>
      </x:c>
      <x:c r="O37" s="204" t="n">
        <x:f>IF(E37="Fabio",Impostazioni!$B$4,IF(E37="Frego",Impostazioni!$B$5,IF(E37="Jessica",Impostazioni!$B$6,0)))</x:f>
        <x:v>40</x:v>
      </x:c>
      <x:c r="P37" s="204" t="n">
        <x:f>N37*O37</x:f>
        <x:v>160</x:v>
      </x:c>
      <x:c r="Q37" s="197" t="str"/>
      <x:c r="R37" s="197" t="str"/>
    </x:row>
    <x:row r="38">
      <x:c r="A38" s="197" t="str">
        <x:v>Mirko / Evolution</x:v>
      </x:c>
      <x:c r="B38" s="197" t="str">
        <x:v>Rinnovo</x:v>
      </x:c>
      <x:c r="C38" s="197" t="str">
        <x:v>Rinnovo / Upsell</x:v>
      </x:c>
      <x:c r="D38" s="197" t="str">
        <x:v>Check-in 45 giorni e rinnovo/upgrade</x:v>
      </x:c>
      <x:c r="E38" s="197" t="str">
        <x:v>Fabio</x:v>
      </x:c>
      <x:c r="F38" s="197" t="str">
        <x:v>Fabio</x:v>
      </x:c>
      <x:c r="G38" s="197" t="str">
        <x:v>Alta</x:v>
      </x:c>
      <x:c r="H38" s="197" t="str">
        <x:v>Non delegabile</x:v>
      </x:c>
      <x:c r="I38" s="197" t="str">
        <x:v>Sì</x:v>
      </x:c>
      <x:c r="J38" s="197" t="str">
        <x:v>Mensile</x:v>
      </x:c>
      <x:c r="K38" s="197"/>
      <x:c r="L38" s="197"/>
      <x:c r="M38" s="197" t="n">
        <x:v>2</x:v>
      </x:c>
      <x:c r="N38" s="204" t="n">
        <x:f>IF(M38&lt;&gt;"",M38,IF(AND(K38&lt;&gt;"",L38&lt;&gt;""),K38*L38/60,0))</x:f>
        <x:v>2</x:v>
      </x:c>
      <x:c r="O38" s="204" t="n">
        <x:f>IF(E38="Fabio",Impostazioni!$B$4,IF(E38="Frego",Impostazioni!$B$5,IF(E38="Jessica",Impostazioni!$B$6,0)))</x:f>
        <x:v>40</x:v>
      </x:c>
      <x:c r="P38" s="204" t="n">
        <x:f>N38*O38</x:f>
        <x:v>80</x:v>
      </x:c>
      <x:c r="Q38" s="197" t="str"/>
      <x:c r="R38" s="197" t="str"/>
    </x:row>
    <x:row r="39">
      <x:c r="A39" s="197" t="str">
        <x:v>Acquisizione Metrics</x:v>
      </x:c>
      <x:c r="B39" s="197" t="str">
        <x:v>Acquisizione</x:v>
      </x:c>
      <x:c r="C39" s="197" t="str">
        <x:v>Acquisizione Metrics</x:v>
      </x:c>
      <x:c r="D39" s="197" t="str">
        <x:v>Strategia acquisizione Metrics</x:v>
      </x:c>
      <x:c r="E39" s="197" t="str">
        <x:v>Fabio</x:v>
      </x:c>
      <x:c r="F39" s="197" t="str">
        <x:v>Fabio</x:v>
      </x:c>
      <x:c r="G39" s="197" t="str">
        <x:v>Alta</x:v>
      </x:c>
      <x:c r="H39" s="197" t="str">
        <x:v>Non delegabile</x:v>
      </x:c>
      <x:c r="I39" s="197" t="str">
        <x:v>Sì</x:v>
      </x:c>
      <x:c r="J39" s="197" t="str">
        <x:v>Mensile</x:v>
      </x:c>
      <x:c r="K39" s="197"/>
      <x:c r="L39" s="197"/>
      <x:c r="M39" s="197" t="n">
        <x:v>3</x:v>
      </x:c>
      <x:c r="N39" s="204" t="n">
        <x:f>IF(M39&lt;&gt;"",M39,IF(AND(K39&lt;&gt;"",L39&lt;&gt;""),K39*L39/60,0))</x:f>
        <x:v>3</x:v>
      </x:c>
      <x:c r="O39" s="204" t="n">
        <x:f>IF(E39="Fabio",Impostazioni!$B$4,IF(E39="Frego",Impostazioni!$B$5,IF(E39="Jessica",Impostazioni!$B$6,0)))</x:f>
        <x:v>40</x:v>
      </x:c>
      <x:c r="P39" s="204" t="n">
        <x:f>N39*O39</x:f>
        <x:v>120</x:v>
      </x:c>
      <x:c r="Q39" s="197" t="str"/>
      <x:c r="R39" s="197" t="str"/>
    </x:row>
    <x:row r="40">
      <x:c r="A40" s="197" t="str">
        <x:v>Acquisizione Metrics</x:v>
      </x:c>
      <x:c r="B40" s="197" t="str">
        <x:v>Acquisizione</x:v>
      </x:c>
      <x:c r="C40" s="197" t="str">
        <x:v>Email</x:v>
      </x:c>
      <x:c r="D40" s="197" t="str">
        <x:v>Testi email acquisizione Metrics</x:v>
      </x:c>
      <x:c r="E40" s="197" t="str">
        <x:v>Fabio</x:v>
      </x:c>
      <x:c r="F40" s="197" t="str">
        <x:v>Fabio</x:v>
      </x:c>
      <x:c r="G40" s="197" t="str">
        <x:v>Alta</x:v>
      </x:c>
      <x:c r="H40" s="197" t="str">
        <x:v>Non delegabile</x:v>
      </x:c>
      <x:c r="I40" s="197" t="str">
        <x:v>Sì</x:v>
      </x:c>
      <x:c r="J40" s="197" t="str">
        <x:v>Mensile</x:v>
      </x:c>
      <x:c r="K40" s="197"/>
      <x:c r="L40" s="197"/>
      <x:c r="M40" s="197" t="n">
        <x:v>2</x:v>
      </x:c>
      <x:c r="N40" s="204" t="n">
        <x:f>IF(M40&lt;&gt;"",M40,IF(AND(K40&lt;&gt;"",L40&lt;&gt;""),K40*L40/60,0))</x:f>
        <x:v>2</x:v>
      </x:c>
      <x:c r="O40" s="204" t="n">
        <x:f>IF(E40="Fabio",Impostazioni!$B$4,IF(E40="Frego",Impostazioni!$B$5,IF(E40="Jessica",Impostazioni!$B$6,0)))</x:f>
        <x:v>40</x:v>
      </x:c>
      <x:c r="P40" s="204" t="n">
        <x:f>N40*O40</x:f>
        <x:v>80</x:v>
      </x:c>
      <x:c r="Q40" s="197" t="str"/>
      <x:c r="R40" s="197" t="str"/>
    </x:row>
    <x:row r="41">
      <x:c r="A41" s="197" t="str">
        <x:v>Acquisizione Metrics</x:v>
      </x:c>
      <x:c r="B41" s="197" t="str">
        <x:v>Acquisizione</x:v>
      </x:c>
      <x:c r="C41" s="197" t="str">
        <x:v>Email</x:v>
      </x:c>
      <x:c r="D41" s="197" t="str">
        <x:v>Automazione email acquisizione Metrics</x:v>
      </x:c>
      <x:c r="E41" s="197" t="str">
        <x:v>Frego</x:v>
      </x:c>
      <x:c r="F41" s="197" t="str">
        <x:v>Frego</x:v>
      </x:c>
      <x:c r="G41" s="197" t="str">
        <x:v>Media</x:v>
      </x:c>
      <x:c r="H41" s="197" t="str">
        <x:v>Non delegabile</x:v>
      </x:c>
      <x:c r="I41" s="197" t="str">
        <x:v>Sì</x:v>
      </x:c>
      <x:c r="J41" s="197" t="str">
        <x:v>Mensile</x:v>
      </x:c>
      <x:c r="K41" s="197"/>
      <x:c r="L41" s="197"/>
      <x:c r="M41" s="197" t="n">
        <x:v>2</x:v>
      </x:c>
      <x:c r="N41" s="204" t="n">
        <x:f>IF(M41&lt;&gt;"",M41,IF(AND(K41&lt;&gt;"",L41&lt;&gt;""),K41*L41/60,0))</x:f>
        <x:v>2</x:v>
      </x:c>
      <x:c r="O41" s="204" t="n">
        <x:f>IF(E41="Fabio",Impostazioni!$B$4,IF(E41="Frego",Impostazioni!$B$5,IF(E41="Jessica",Impostazioni!$B$6,0)))</x:f>
        <x:v>40</x:v>
      </x:c>
      <x:c r="P41" s="204" t="n">
        <x:f>N41*O41</x:f>
        <x:v>80</x:v>
      </x:c>
      <x:c r="Q41" s="197" t="str"/>
      <x:c r="R41" s="197" t="str"/>
    </x:row>
    <x:row r="42">
      <x:c r="A42" s="197" t="str">
        <x:v>Acquisizione Metrics</x:v>
      </x:c>
      <x:c r="B42" s="197" t="str">
        <x:v>Vendita</x:v>
      </x:c>
      <x:c r="C42" s="197" t="str">
        <x:v>Vendita Metrics</x:v>
      </x:c>
      <x:c r="D42" s="197" t="str">
        <x:v>Risposte prospect e fissaggio call</x:v>
      </x:c>
      <x:c r="E42" s="197" t="str">
        <x:v>Fabio</x:v>
      </x:c>
      <x:c r="F42" s="197" t="str">
        <x:v>Fabio</x:v>
      </x:c>
      <x:c r="G42" s="197" t="str">
        <x:v>Alta</x:v>
      </x:c>
      <x:c r="H42" s="197" t="str">
        <x:v>Non delegabile</x:v>
      </x:c>
      <x:c r="I42" s="197" t="str">
        <x:v>Sì</x:v>
      </x:c>
      <x:c r="J42" s="197" t="str">
        <x:v>Mensile</x:v>
      </x:c>
      <x:c r="K42" s="197"/>
      <x:c r="L42" s="197"/>
      <x:c r="M42" s="197" t="n">
        <x:v>4</x:v>
      </x:c>
      <x:c r="N42" s="204" t="n">
        <x:f>IF(M42&lt;&gt;"",M42,IF(AND(K42&lt;&gt;"",L42&lt;&gt;""),K42*L42/60,0))</x:f>
        <x:v>4</x:v>
      </x:c>
      <x:c r="O42" s="204" t="n">
        <x:f>IF(E42="Fabio",Impostazioni!$B$4,IF(E42="Frego",Impostazioni!$B$5,IF(E42="Jessica",Impostazioni!$B$6,0)))</x:f>
        <x:v>40</x:v>
      </x:c>
      <x:c r="P42" s="204" t="n">
        <x:f>N42*O42</x:f>
        <x:v>160</x:v>
      </x:c>
      <x:c r="Q42" s="197" t="str"/>
      <x:c r="R42" s="197" t="str"/>
    </x:row>
    <x:row r="43">
      <x:c r="A43" s="197" t="str">
        <x:v>Acquisizione Metrics</x:v>
      </x:c>
      <x:c r="B43" s="197" t="str">
        <x:v>Vendita</x:v>
      </x:c>
      <x:c r="C43" s="197" t="str">
        <x:v>Vendita Metrics</x:v>
      </x:c>
      <x:c r="D43" s="197" t="str">
        <x:v>Call vendita Metrics</x:v>
      </x:c>
      <x:c r="E43" s="197" t="str">
        <x:v>Fabio</x:v>
      </x:c>
      <x:c r="F43" s="197" t="str">
        <x:v>Fabio</x:v>
      </x:c>
      <x:c r="G43" s="197" t="str">
        <x:v>Alta</x:v>
      </x:c>
      <x:c r="H43" s="197" t="str">
        <x:v>Non delegabile</x:v>
      </x:c>
      <x:c r="I43" s="197" t="str">
        <x:v>Sì</x:v>
      </x:c>
      <x:c r="J43" s="197" t="str">
        <x:v>Mensile</x:v>
      </x:c>
      <x:c r="K43" s="197"/>
      <x:c r="L43" s="197"/>
      <x:c r="M43" s="197" t="n">
        <x:v>5</x:v>
      </x:c>
      <x:c r="N43" s="204" t="n">
        <x:f>IF(M43&lt;&gt;"",M43,IF(AND(K43&lt;&gt;"",L43&lt;&gt;""),K43*L43/60,0))</x:f>
        <x:v>5</x:v>
      </x:c>
      <x:c r="O43" s="204" t="n">
        <x:f>IF(E43="Fabio",Impostazioni!$B$4,IF(E43="Frego",Impostazioni!$B$5,IF(E43="Jessica",Impostazioni!$B$6,0)))</x:f>
        <x:v>40</x:v>
      </x:c>
      <x:c r="P43" s="204" t="n">
        <x:f>N43*O43</x:f>
        <x:v>200</x:v>
      </x:c>
      <x:c r="Q43" s="197" t="str"/>
      <x:c r="R43" s="197" t="str">
        <x:v>Valorizzate anche in Acquisizione Metrics</x:v>
      </x:c>
    </x:row>
    <x:row r="44">
      <x:c r="A44" s="197" t="str">
        <x:v>Acquisizione Metrics</x:v>
      </x:c>
      <x:c r="B44" s="197" t="str">
        <x:v>Project management</x:v>
      </x:c>
      <x:c r="C44" s="197" t="str">
        <x:v>Project management</x:v>
      </x:c>
      <x:c r="D44" s="197" t="str">
        <x:v>Project generale Metrics</x:v>
      </x:c>
      <x:c r="E44" s="197" t="str">
        <x:v>Fabio</x:v>
      </x:c>
      <x:c r="F44" s="197" t="str">
        <x:v>Fabio</x:v>
      </x:c>
      <x:c r="G44" s="197" t="str">
        <x:v>Alta</x:v>
      </x:c>
      <x:c r="H44" s="197" t="str">
        <x:v>Non delegabile</x:v>
      </x:c>
      <x:c r="I44" s="197" t="str">
        <x:v>Sì</x:v>
      </x:c>
      <x:c r="J44" s="197" t="str">
        <x:v>Mensile</x:v>
      </x:c>
      <x:c r="K44" s="197"/>
      <x:c r="L44" s="197"/>
      <x:c r="M44" s="197" t="n">
        <x:v>4</x:v>
      </x:c>
      <x:c r="N44" s="204" t="n">
        <x:f>IF(M44&lt;&gt;"",M44,IF(AND(K44&lt;&gt;"",L44&lt;&gt;""),K44*L44/60,0))</x:f>
        <x:v>4</x:v>
      </x:c>
      <x:c r="O44" s="204" t="n">
        <x:f>IF(E44="Fabio",Impostazioni!$B$4,IF(E44="Frego",Impostazioni!$B$5,IF(E44="Jessica",Impostazioni!$B$6,0)))</x:f>
        <x:v>40</x:v>
      </x:c>
      <x:c r="P44" s="204" t="n">
        <x:f>N44*O44</x:f>
        <x:v>160</x:v>
      </x:c>
      <x:c r="Q44" s="197" t="str"/>
      <x:c r="R44" s="197" t="str"/>
    </x:row>
    <x:row r="45">
      <x:c r="A45" s="197"/>
      <x:c r="B45" s="197"/>
      <x:c r="C45" s="197"/>
      <x:c r="D45" s="197"/>
      <x:c r="E45" s="197"/>
      <x:c r="F45" s="197"/>
      <x:c r="G45" s="197"/>
      <x:c r="H45" s="197"/>
      <x:c r="I45" s="197"/>
      <x:c r="J45" s="197"/>
      <x:c r="K45" s="197"/>
      <x:c r="L45" s="197"/>
      <x:c r="M45" s="197"/>
      <x:c r="N45" s="198" t="n">
        <x:f>IF(M45&lt;&gt;"",M45,IF(AND(K45&lt;&gt;"",L45&lt;&gt;""),K45*L45/60,0))</x:f>
        <x:v>0</x:v>
      </x:c>
      <x:c r="O45" s="198" t="n">
        <x:f>IF(E45="Fabio",Impostazioni!$B$4,IF(E45="Frego",Impostazioni!$B$5,IF(E45="Jessica",Impostazioni!$B$6,0)))</x:f>
        <x:v>0</x:v>
      </x:c>
      <x:c r="P45" s="198" t="n">
        <x:f>N45*O45</x:f>
        <x:v>0</x:v>
      </x:c>
      <x:c r="Q45" s="197"/>
      <x:c r="R45" s="197"/>
    </x:row>
    <x:row r="46">
      <x:c r="A46" s="197"/>
      <x:c r="B46" s="197"/>
      <x:c r="C46" s="197"/>
      <x:c r="D46" s="197"/>
      <x:c r="E46" s="197"/>
      <x:c r="F46" s="197"/>
      <x:c r="G46" s="197"/>
      <x:c r="H46" s="197"/>
      <x:c r="I46" s="197"/>
      <x:c r="J46" s="197"/>
      <x:c r="K46" s="197"/>
      <x:c r="L46" s="197"/>
      <x:c r="M46" s="197"/>
      <x:c r="N46" s="198" t="n">
        <x:f>IF(M46&lt;&gt;"",M46,IF(AND(K46&lt;&gt;"",L46&lt;&gt;""),K46*L46/60,0))</x:f>
        <x:v>0</x:v>
      </x:c>
      <x:c r="O46" s="198" t="n">
        <x:f>IF(E46="Fabio",Impostazioni!$B$4,IF(E46="Frego",Impostazioni!$B$5,IF(E46="Jessica",Impostazioni!$B$6,0)))</x:f>
        <x:v>0</x:v>
      </x:c>
      <x:c r="P46" s="198" t="n">
        <x:f>N46*O46</x:f>
        <x:v>0</x:v>
      </x:c>
      <x:c r="Q46" s="197"/>
      <x:c r="R46" s="197"/>
    </x:row>
    <x:row r="47">
      <x:c r="A47" s="197"/>
      <x:c r="B47" s="197"/>
      <x:c r="C47" s="197"/>
      <x:c r="D47" s="197"/>
      <x:c r="E47" s="197"/>
      <x:c r="F47" s="197"/>
      <x:c r="G47" s="197"/>
      <x:c r="H47" s="197"/>
      <x:c r="I47" s="197"/>
      <x:c r="J47" s="197"/>
      <x:c r="K47" s="197"/>
      <x:c r="L47" s="197"/>
      <x:c r="M47" s="197"/>
      <x:c r="N47" s="198" t="n">
        <x:f>IF(M47&lt;&gt;"",M47,IF(AND(K47&lt;&gt;"",L47&lt;&gt;""),K47*L47/60,0))</x:f>
        <x:v>0</x:v>
      </x:c>
      <x:c r="O47" s="198" t="n">
        <x:f>IF(E47="Fabio",Impostazioni!$B$4,IF(E47="Frego",Impostazioni!$B$5,IF(E47="Jessica",Impostazioni!$B$6,0)))</x:f>
        <x:v>0</x:v>
      </x:c>
      <x:c r="P47" s="198" t="n">
        <x:f>N47*O47</x:f>
        <x:v>0</x:v>
      </x:c>
      <x:c r="Q47" s="197"/>
      <x:c r="R47" s="197"/>
    </x:row>
    <x:row r="48">
      <x:c r="A48" s="197"/>
      <x:c r="B48" s="197"/>
      <x:c r="C48" s="197"/>
      <x:c r="D48" s="197"/>
      <x:c r="E48" s="197"/>
      <x:c r="F48" s="197"/>
      <x:c r="G48" s="197"/>
      <x:c r="H48" s="197"/>
      <x:c r="I48" s="197"/>
      <x:c r="J48" s="197"/>
      <x:c r="K48" s="197"/>
      <x:c r="L48" s="197"/>
      <x:c r="M48" s="197"/>
      <x:c r="N48" s="198" t="n">
        <x:f>IF(M48&lt;&gt;"",M48,IF(AND(K48&lt;&gt;"",L48&lt;&gt;""),K48*L48/60,0))</x:f>
        <x:v>0</x:v>
      </x:c>
      <x:c r="O48" s="198" t="n">
        <x:f>IF(E48="Fabio",Impostazioni!$B$4,IF(E48="Frego",Impostazioni!$B$5,IF(E48="Jessica",Impostazioni!$B$6,0)))</x:f>
        <x:v>0</x:v>
      </x:c>
      <x:c r="P48" s="198" t="n">
        <x:f>N48*O48</x:f>
        <x:v>0</x:v>
      </x:c>
      <x:c r="Q48" s="197"/>
      <x:c r="R48" s="197"/>
    </x:row>
    <x:row r="49">
      <x:c r="A49" s="197"/>
      <x:c r="B49" s="197"/>
      <x:c r="C49" s="197"/>
      <x:c r="D49" s="197"/>
      <x:c r="E49" s="197"/>
      <x:c r="F49" s="197"/>
      <x:c r="G49" s="197"/>
      <x:c r="H49" s="197"/>
      <x:c r="I49" s="197"/>
      <x:c r="J49" s="197"/>
      <x:c r="K49" s="197"/>
      <x:c r="L49" s="197"/>
      <x:c r="M49" s="197"/>
      <x:c r="N49" s="198" t="n">
        <x:f>IF(M49&lt;&gt;"",M49,IF(AND(K49&lt;&gt;"",L49&lt;&gt;""),K49*L49/60,0))</x:f>
        <x:v>0</x:v>
      </x:c>
      <x:c r="O49" s="198" t="n">
        <x:f>IF(E49="Fabio",Impostazioni!$B$4,IF(E49="Frego",Impostazioni!$B$5,IF(E49="Jessica",Impostazioni!$B$6,0)))</x:f>
        <x:v>0</x:v>
      </x:c>
      <x:c r="P49" s="198" t="n">
        <x:f>N49*O49</x:f>
        <x:v>0</x:v>
      </x:c>
      <x:c r="Q49" s="197"/>
      <x:c r="R49" s="197"/>
    </x:row>
    <x:row r="50">
      <x:c r="A50" s="197"/>
      <x:c r="B50" s="197"/>
      <x:c r="C50" s="197"/>
      <x:c r="D50" s="197"/>
      <x:c r="E50" s="197"/>
      <x:c r="F50" s="197"/>
      <x:c r="G50" s="197"/>
      <x:c r="H50" s="197"/>
      <x:c r="I50" s="197"/>
      <x:c r="J50" s="197"/>
      <x:c r="K50" s="197"/>
      <x:c r="L50" s="197"/>
      <x:c r="M50" s="197"/>
      <x:c r="N50" s="198" t="n">
        <x:f>IF(M50&lt;&gt;"",M50,IF(AND(K50&lt;&gt;"",L50&lt;&gt;""),K50*L50/60,0))</x:f>
        <x:v>0</x:v>
      </x:c>
      <x:c r="O50" s="198" t="n">
        <x:f>IF(E50="Fabio",Impostazioni!$B$4,IF(E50="Frego",Impostazioni!$B$5,IF(E50="Jessica",Impostazioni!$B$6,0)))</x:f>
        <x:v>0</x:v>
      </x:c>
      <x:c r="P50" s="198" t="n">
        <x:f>N50*O50</x:f>
        <x:v>0</x:v>
      </x:c>
      <x:c r="Q50" s="197"/>
      <x:c r="R50" s="197"/>
    </x:row>
    <x:row r="51">
      <x:c r="A51" s="197"/>
      <x:c r="B51" s="197"/>
      <x:c r="C51" s="197"/>
      <x:c r="D51" s="197"/>
      <x:c r="E51" s="197"/>
      <x:c r="F51" s="197"/>
      <x:c r="G51" s="197"/>
      <x:c r="H51" s="197"/>
      <x:c r="I51" s="197"/>
      <x:c r="J51" s="197"/>
      <x:c r="K51" s="197"/>
      <x:c r="L51" s="197"/>
      <x:c r="M51" s="197"/>
      <x:c r="N51" s="198" t="n">
        <x:f>IF(M51&lt;&gt;"",M51,IF(AND(K51&lt;&gt;"",L51&lt;&gt;""),K51*L51/60,0))</x:f>
        <x:v>0</x:v>
      </x:c>
      <x:c r="O51" s="198" t="n">
        <x:f>IF(E51="Fabio",Impostazioni!$B$4,IF(E51="Frego",Impostazioni!$B$5,IF(E51="Jessica",Impostazioni!$B$6,0)))</x:f>
        <x:v>0</x:v>
      </x:c>
      <x:c r="P51" s="198" t="n">
        <x:f>N51*O51</x:f>
        <x:v>0</x:v>
      </x:c>
      <x:c r="Q51" s="197"/>
      <x:c r="R51" s="197"/>
    </x:row>
    <x:row r="52">
      <x:c r="A52" s="197"/>
      <x:c r="B52" s="197"/>
      <x:c r="C52" s="197"/>
      <x:c r="D52" s="197"/>
      <x:c r="E52" s="197"/>
      <x:c r="F52" s="197"/>
      <x:c r="G52" s="197"/>
      <x:c r="H52" s="197"/>
      <x:c r="I52" s="197"/>
      <x:c r="J52" s="197"/>
      <x:c r="K52" s="197"/>
      <x:c r="L52" s="197"/>
      <x:c r="M52" s="197"/>
      <x:c r="N52" s="198" t="n">
        <x:f>IF(M52&lt;&gt;"",M52,IF(AND(K52&lt;&gt;"",L52&lt;&gt;""),K52*L52/60,0))</x:f>
        <x:v>0</x:v>
      </x:c>
      <x:c r="O52" s="198" t="n">
        <x:f>IF(E52="Fabio",Impostazioni!$B$4,IF(E52="Frego",Impostazioni!$B$5,IF(E52="Jessica",Impostazioni!$B$6,0)))</x:f>
        <x:v>0</x:v>
      </x:c>
      <x:c r="P52" s="198" t="n">
        <x:f>N52*O52</x:f>
        <x:v>0</x:v>
      </x:c>
      <x:c r="Q52" s="197"/>
      <x:c r="R52" s="197"/>
    </x:row>
    <x:row r="53">
      <x:c r="A53" s="197"/>
      <x:c r="B53" s="197"/>
      <x:c r="C53" s="197"/>
      <x:c r="D53" s="197"/>
      <x:c r="E53" s="197"/>
      <x:c r="F53" s="197"/>
      <x:c r="G53" s="197"/>
      <x:c r="H53" s="197"/>
      <x:c r="I53" s="197"/>
      <x:c r="J53" s="197"/>
      <x:c r="K53" s="197"/>
      <x:c r="L53" s="197"/>
      <x:c r="M53" s="197"/>
      <x:c r="N53" s="198" t="n">
        <x:f>IF(M53&lt;&gt;"",M53,IF(AND(K53&lt;&gt;"",L53&lt;&gt;""),K53*L53/60,0))</x:f>
        <x:v>0</x:v>
      </x:c>
      <x:c r="O53" s="198" t="n">
        <x:f>IF(E53="Fabio",Impostazioni!$B$4,IF(E53="Frego",Impostazioni!$B$5,IF(E53="Jessica",Impostazioni!$B$6,0)))</x:f>
        <x:v>0</x:v>
      </x:c>
      <x:c r="P53" s="198" t="n">
        <x:f>N53*O53</x:f>
        <x:v>0</x:v>
      </x:c>
      <x:c r="Q53" s="197"/>
      <x:c r="R53" s="197"/>
    </x:row>
    <x:row r="54">
      <x:c r="A54" s="197"/>
      <x:c r="B54" s="197"/>
      <x:c r="C54" s="197"/>
      <x:c r="D54" s="197"/>
      <x:c r="E54" s="197"/>
      <x:c r="F54" s="197"/>
      <x:c r="G54" s="197"/>
      <x:c r="H54" s="197"/>
      <x:c r="I54" s="197"/>
      <x:c r="J54" s="197"/>
      <x:c r="K54" s="197"/>
      <x:c r="L54" s="197"/>
      <x:c r="M54" s="197"/>
      <x:c r="N54" s="198" t="n">
        <x:f>IF(M54&lt;&gt;"",M54,IF(AND(K54&lt;&gt;"",L54&lt;&gt;""),K54*L54/60,0))</x:f>
        <x:v>0</x:v>
      </x:c>
      <x:c r="O54" s="198" t="n">
        <x:f>IF(E54="Fabio",Impostazioni!$B$4,IF(E54="Frego",Impostazioni!$B$5,IF(E54="Jessica",Impostazioni!$B$6,0)))</x:f>
        <x:v>0</x:v>
      </x:c>
      <x:c r="P54" s="198" t="n">
        <x:f>N54*O54</x:f>
        <x:v>0</x:v>
      </x:c>
      <x:c r="Q54" s="197"/>
      <x:c r="R54" s="197"/>
    </x:row>
    <x:row r="55">
      <x:c r="A55" s="197"/>
      <x:c r="B55" s="197"/>
      <x:c r="C55" s="197"/>
      <x:c r="D55" s="197"/>
      <x:c r="E55" s="197"/>
      <x:c r="F55" s="197"/>
      <x:c r="G55" s="197"/>
      <x:c r="H55" s="197"/>
      <x:c r="I55" s="197"/>
      <x:c r="J55" s="197"/>
      <x:c r="K55" s="197"/>
      <x:c r="L55" s="197"/>
      <x:c r="M55" s="197"/>
      <x:c r="N55" s="198" t="n">
        <x:f>IF(M55&lt;&gt;"",M55,IF(AND(K55&lt;&gt;"",L55&lt;&gt;""),K55*L55/60,0))</x:f>
        <x:v>0</x:v>
      </x:c>
      <x:c r="O55" s="198" t="n">
        <x:f>IF(E55="Fabio",Impostazioni!$B$4,IF(E55="Frego",Impostazioni!$B$5,IF(E55="Jessica",Impostazioni!$B$6,0)))</x:f>
        <x:v>0</x:v>
      </x:c>
      <x:c r="P55" s="198" t="n">
        <x:f>N55*O55</x:f>
        <x:v>0</x:v>
      </x:c>
      <x:c r="Q55" s="197"/>
      <x:c r="R55" s="197"/>
    </x:row>
    <x:row r="56">
      <x:c r="A56" s="197"/>
      <x:c r="B56" s="197"/>
      <x:c r="C56" s="197"/>
      <x:c r="D56" s="197"/>
      <x:c r="E56" s="197"/>
      <x:c r="F56" s="197"/>
      <x:c r="G56" s="197"/>
      <x:c r="H56" s="197"/>
      <x:c r="I56" s="197"/>
      <x:c r="J56" s="197"/>
      <x:c r="K56" s="197"/>
      <x:c r="L56" s="197"/>
      <x:c r="M56" s="197"/>
      <x:c r="N56" s="198" t="n">
        <x:f>IF(M56&lt;&gt;"",M56,IF(AND(K56&lt;&gt;"",L56&lt;&gt;""),K56*L56/60,0))</x:f>
        <x:v>0</x:v>
      </x:c>
      <x:c r="O56" s="198" t="n">
        <x:f>IF(E56="Fabio",Impostazioni!$B$4,IF(E56="Frego",Impostazioni!$B$5,IF(E56="Jessica",Impostazioni!$B$6,0)))</x:f>
        <x:v>0</x:v>
      </x:c>
      <x:c r="P56" s="198" t="n">
        <x:f>N56*O56</x:f>
        <x:v>0</x:v>
      </x:c>
      <x:c r="Q56" s="197"/>
      <x:c r="R56" s="197"/>
    </x:row>
    <x:row r="57">
      <x:c r="A57" s="197"/>
      <x:c r="B57" s="197"/>
      <x:c r="C57" s="197"/>
      <x:c r="D57" s="197"/>
      <x:c r="E57" s="197"/>
      <x:c r="F57" s="197"/>
      <x:c r="G57" s="197"/>
      <x:c r="H57" s="197"/>
      <x:c r="I57" s="197"/>
      <x:c r="J57" s="197"/>
      <x:c r="K57" s="197"/>
      <x:c r="L57" s="197"/>
      <x:c r="M57" s="197"/>
      <x:c r="N57" s="198" t="n">
        <x:f>IF(M57&lt;&gt;"",M57,IF(AND(K57&lt;&gt;"",L57&lt;&gt;""),K57*L57/60,0))</x:f>
        <x:v>0</x:v>
      </x:c>
      <x:c r="O57" s="198" t="n">
        <x:f>IF(E57="Fabio",Impostazioni!$B$4,IF(E57="Frego",Impostazioni!$B$5,IF(E57="Jessica",Impostazioni!$B$6,0)))</x:f>
        <x:v>0</x:v>
      </x:c>
      <x:c r="P57" s="198" t="n">
        <x:f>N57*O57</x:f>
        <x:v>0</x:v>
      </x:c>
      <x:c r="Q57" s="197"/>
      <x:c r="R57" s="197"/>
    </x:row>
    <x:row r="58">
      <x:c r="A58" s="197"/>
      <x:c r="B58" s="197"/>
      <x:c r="C58" s="197"/>
      <x:c r="D58" s="197"/>
      <x:c r="E58" s="197"/>
      <x:c r="F58" s="197"/>
      <x:c r="G58" s="197"/>
      <x:c r="H58" s="197"/>
      <x:c r="I58" s="197"/>
      <x:c r="J58" s="197"/>
      <x:c r="K58" s="197"/>
      <x:c r="L58" s="197"/>
      <x:c r="M58" s="197"/>
      <x:c r="N58" s="198" t="n">
        <x:f>IF(M58&lt;&gt;"",M58,IF(AND(K58&lt;&gt;"",L58&lt;&gt;""),K58*L58/60,0))</x:f>
        <x:v>0</x:v>
      </x:c>
      <x:c r="O58" s="198" t="n">
        <x:f>IF(E58="Fabio",Impostazioni!$B$4,IF(E58="Frego",Impostazioni!$B$5,IF(E58="Jessica",Impostazioni!$B$6,0)))</x:f>
        <x:v>0</x:v>
      </x:c>
      <x:c r="P58" s="198" t="n">
        <x:f>N58*O58</x:f>
        <x:v>0</x:v>
      </x:c>
      <x:c r="Q58" s="197"/>
      <x:c r="R58" s="197"/>
    </x:row>
    <x:row r="59">
      <x:c r="A59" s="197"/>
      <x:c r="B59" s="197"/>
      <x:c r="C59" s="197"/>
      <x:c r="D59" s="197"/>
      <x:c r="E59" s="197"/>
      <x:c r="F59" s="197"/>
      <x:c r="G59" s="197"/>
      <x:c r="H59" s="197"/>
      <x:c r="I59" s="197"/>
      <x:c r="J59" s="197"/>
      <x:c r="K59" s="197"/>
      <x:c r="L59" s="197"/>
      <x:c r="M59" s="197"/>
      <x:c r="N59" s="198" t="n">
        <x:f>IF(M59&lt;&gt;"",M59,IF(AND(K59&lt;&gt;"",L59&lt;&gt;""),K59*L59/60,0))</x:f>
        <x:v>0</x:v>
      </x:c>
      <x:c r="O59" s="198" t="n">
        <x:f>IF(E59="Fabio",Impostazioni!$B$4,IF(E59="Frego",Impostazioni!$B$5,IF(E59="Jessica",Impostazioni!$B$6,0)))</x:f>
        <x:v>0</x:v>
      </x:c>
      <x:c r="P59" s="198" t="n">
        <x:f>N59*O59</x:f>
        <x:v>0</x:v>
      </x:c>
      <x:c r="Q59" s="197"/>
      <x:c r="R59" s="197"/>
    </x:row>
    <x:row r="60">
      <x:c r="A60" s="197"/>
      <x:c r="B60" s="197"/>
      <x:c r="C60" s="197"/>
      <x:c r="D60" s="197"/>
      <x:c r="E60" s="197"/>
      <x:c r="F60" s="197"/>
      <x:c r="G60" s="197"/>
      <x:c r="H60" s="197"/>
      <x:c r="I60" s="197"/>
      <x:c r="J60" s="197"/>
      <x:c r="K60" s="197"/>
      <x:c r="L60" s="197"/>
      <x:c r="M60" s="197"/>
      <x:c r="N60" s="198" t="n">
        <x:f>IF(M60&lt;&gt;"",M60,IF(AND(K60&lt;&gt;"",L60&lt;&gt;""),K60*L60/60,0))</x:f>
        <x:v>0</x:v>
      </x:c>
      <x:c r="O60" s="198" t="n">
        <x:f>IF(E60="Fabio",Impostazioni!$B$4,IF(E60="Frego",Impostazioni!$B$5,IF(E60="Jessica",Impostazioni!$B$6,0)))</x:f>
        <x:v>0</x:v>
      </x:c>
      <x:c r="P60" s="198" t="n">
        <x:f>N60*O60</x:f>
        <x:v>0</x:v>
      </x:c>
      <x:c r="Q60" s="197"/>
      <x:c r="R60" s="197"/>
    </x:row>
    <x:row r="61">
      <x:c r="A61" s="197"/>
      <x:c r="B61" s="197"/>
      <x:c r="C61" s="197"/>
      <x:c r="D61" s="197"/>
      <x:c r="E61" s="197"/>
      <x:c r="F61" s="197"/>
      <x:c r="G61" s="197"/>
      <x:c r="H61" s="197"/>
      <x:c r="I61" s="197"/>
      <x:c r="J61" s="197"/>
      <x:c r="K61" s="197"/>
      <x:c r="L61" s="197"/>
      <x:c r="M61" s="197"/>
      <x:c r="N61" s="198" t="n">
        <x:f>IF(M61&lt;&gt;"",M61,IF(AND(K61&lt;&gt;"",L61&lt;&gt;""),K61*L61/60,0))</x:f>
        <x:v>0</x:v>
      </x:c>
      <x:c r="O61" s="198" t="n">
        <x:f>IF(E61="Fabio",Impostazioni!$B$4,IF(E61="Frego",Impostazioni!$B$5,IF(E61="Jessica",Impostazioni!$B$6,0)))</x:f>
        <x:v>0</x:v>
      </x:c>
      <x:c r="P61" s="198" t="n">
        <x:f>N61*O61</x:f>
        <x:v>0</x:v>
      </x:c>
      <x:c r="Q61" s="197"/>
      <x:c r="R61" s="197"/>
    </x:row>
    <x:row r="62">
      <x:c r="A62" s="197"/>
      <x:c r="B62" s="197"/>
      <x:c r="C62" s="197"/>
      <x:c r="D62" s="197"/>
      <x:c r="E62" s="197"/>
      <x:c r="F62" s="197"/>
      <x:c r="G62" s="197"/>
      <x:c r="H62" s="197"/>
      <x:c r="I62" s="197"/>
      <x:c r="J62" s="197"/>
      <x:c r="K62" s="197"/>
      <x:c r="L62" s="197"/>
      <x:c r="M62" s="197"/>
      <x:c r="N62" s="198" t="n">
        <x:f>IF(M62&lt;&gt;"",M62,IF(AND(K62&lt;&gt;"",L62&lt;&gt;""),K62*L62/60,0))</x:f>
        <x:v>0</x:v>
      </x:c>
      <x:c r="O62" s="198" t="n">
        <x:f>IF(E62="Fabio",Impostazioni!$B$4,IF(E62="Frego",Impostazioni!$B$5,IF(E62="Jessica",Impostazioni!$B$6,0)))</x:f>
        <x:v>0</x:v>
      </x:c>
      <x:c r="P62" s="198" t="n">
        <x:f>N62*O62</x:f>
        <x:v>0</x:v>
      </x:c>
      <x:c r="Q62" s="197"/>
      <x:c r="R62" s="197"/>
    </x:row>
    <x:row r="63">
      <x:c r="A63" s="197"/>
      <x:c r="B63" s="197"/>
      <x:c r="C63" s="197"/>
      <x:c r="D63" s="197"/>
      <x:c r="E63" s="197"/>
      <x:c r="F63" s="197"/>
      <x:c r="G63" s="197"/>
      <x:c r="H63" s="197"/>
      <x:c r="I63" s="197"/>
      <x:c r="J63" s="197"/>
      <x:c r="K63" s="197"/>
      <x:c r="L63" s="197"/>
      <x:c r="M63" s="197"/>
      <x:c r="N63" s="198" t="n">
        <x:f>IF(M63&lt;&gt;"",M63,IF(AND(K63&lt;&gt;"",L63&lt;&gt;""),K63*L63/60,0))</x:f>
        <x:v>0</x:v>
      </x:c>
      <x:c r="O63" s="198" t="n">
        <x:f>IF(E63="Fabio",Impostazioni!$B$4,IF(E63="Frego",Impostazioni!$B$5,IF(E63="Jessica",Impostazioni!$B$6,0)))</x:f>
        <x:v>0</x:v>
      </x:c>
      <x:c r="P63" s="198" t="n">
        <x:f>N63*O63</x:f>
        <x:v>0</x:v>
      </x:c>
      <x:c r="Q63" s="197"/>
      <x:c r="R63" s="197"/>
    </x:row>
    <x:row r="64">
      <x:c r="A64" s="197"/>
      <x:c r="B64" s="197"/>
      <x:c r="C64" s="197"/>
      <x:c r="D64" s="197"/>
      <x:c r="E64" s="197"/>
      <x:c r="F64" s="197"/>
      <x:c r="G64" s="197"/>
      <x:c r="H64" s="197"/>
      <x:c r="I64" s="197"/>
      <x:c r="J64" s="197"/>
      <x:c r="K64" s="197"/>
      <x:c r="L64" s="197"/>
      <x:c r="M64" s="197"/>
      <x:c r="N64" s="198" t="n">
        <x:f>IF(M64&lt;&gt;"",M64,IF(AND(K64&lt;&gt;"",L64&lt;&gt;""),K64*L64/60,0))</x:f>
        <x:v>0</x:v>
      </x:c>
      <x:c r="O64" s="198" t="n">
        <x:f>IF(E64="Fabio",Impostazioni!$B$4,IF(E64="Frego",Impostazioni!$B$5,IF(E64="Jessica",Impostazioni!$B$6,0)))</x:f>
        <x:v>0</x:v>
      </x:c>
      <x:c r="P64" s="198" t="n">
        <x:f>N64*O64</x:f>
        <x:v>0</x:v>
      </x:c>
      <x:c r="Q64" s="197"/>
      <x:c r="R64" s="197"/>
    </x:row>
    <x:row r="65">
      <x:c r="A65" s="197"/>
      <x:c r="B65" s="197"/>
      <x:c r="C65" s="197"/>
      <x:c r="D65" s="197"/>
      <x:c r="E65" s="197"/>
      <x:c r="F65" s="197"/>
      <x:c r="G65" s="197"/>
      <x:c r="H65" s="197"/>
      <x:c r="I65" s="197"/>
      <x:c r="J65" s="197"/>
      <x:c r="K65" s="197"/>
      <x:c r="L65" s="197"/>
      <x:c r="M65" s="197"/>
      <x:c r="N65" s="198" t="n">
        <x:f>IF(M65&lt;&gt;"",M65,IF(AND(K65&lt;&gt;"",L65&lt;&gt;""),K65*L65/60,0))</x:f>
        <x:v>0</x:v>
      </x:c>
      <x:c r="O65" s="198" t="n">
        <x:f>IF(E65="Fabio",Impostazioni!$B$4,IF(E65="Frego",Impostazioni!$B$5,IF(E65="Jessica",Impostazioni!$B$6,0)))</x:f>
        <x:v>0</x:v>
      </x:c>
      <x:c r="P65" s="198" t="n">
        <x:f>N65*O65</x:f>
        <x:v>0</x:v>
      </x:c>
      <x:c r="Q65" s="197"/>
      <x:c r="R65" s="197"/>
    </x:row>
    <x:row r="66">
      <x:c r="A66" s="197"/>
      <x:c r="B66" s="197"/>
      <x:c r="C66" s="197"/>
      <x:c r="D66" s="197"/>
      <x:c r="E66" s="197"/>
      <x:c r="F66" s="197"/>
      <x:c r="G66" s="197"/>
      <x:c r="H66" s="197"/>
      <x:c r="I66" s="197"/>
      <x:c r="J66" s="197"/>
      <x:c r="K66" s="197"/>
      <x:c r="L66" s="197"/>
      <x:c r="M66" s="197"/>
      <x:c r="N66" s="198" t="n">
        <x:f>IF(M66&lt;&gt;"",M66,IF(AND(K66&lt;&gt;"",L66&lt;&gt;""),K66*L66/60,0))</x:f>
        <x:v>0</x:v>
      </x:c>
      <x:c r="O66" s="198" t="n">
        <x:f>IF(E66="Fabio",Impostazioni!$B$4,IF(E66="Frego",Impostazioni!$B$5,IF(E66="Jessica",Impostazioni!$B$6,0)))</x:f>
        <x:v>0</x:v>
      </x:c>
      <x:c r="P66" s="198" t="n">
        <x:f>N66*O66</x:f>
        <x:v>0</x:v>
      </x:c>
      <x:c r="Q66" s="197"/>
      <x:c r="R66" s="197"/>
    </x:row>
    <x:row r="67">
      <x:c r="A67" s="197"/>
      <x:c r="B67" s="197"/>
      <x:c r="C67" s="197"/>
      <x:c r="D67" s="197"/>
      <x:c r="E67" s="197"/>
      <x:c r="F67" s="197"/>
      <x:c r="G67" s="197"/>
      <x:c r="H67" s="197"/>
      <x:c r="I67" s="197"/>
      <x:c r="J67" s="197"/>
      <x:c r="K67" s="197"/>
      <x:c r="L67" s="197"/>
      <x:c r="M67" s="197"/>
      <x:c r="N67" s="198" t="n">
        <x:f>IF(M67&lt;&gt;"",M67,IF(AND(K67&lt;&gt;"",L67&lt;&gt;""),K67*L67/60,0))</x:f>
        <x:v>0</x:v>
      </x:c>
      <x:c r="O67" s="198" t="n">
        <x:f>IF(E67="Fabio",Impostazioni!$B$4,IF(E67="Frego",Impostazioni!$B$5,IF(E67="Jessica",Impostazioni!$B$6,0)))</x:f>
        <x:v>0</x:v>
      </x:c>
      <x:c r="P67" s="198" t="n">
        <x:f>N67*O67</x:f>
        <x:v>0</x:v>
      </x:c>
      <x:c r="Q67" s="197"/>
      <x:c r="R67" s="197"/>
    </x:row>
    <x:row r="68">
      <x:c r="A68" s="197"/>
      <x:c r="B68" s="197"/>
      <x:c r="C68" s="197"/>
      <x:c r="D68" s="197"/>
      <x:c r="E68" s="197"/>
      <x:c r="F68" s="197"/>
      <x:c r="G68" s="197"/>
      <x:c r="H68" s="197"/>
      <x:c r="I68" s="197"/>
      <x:c r="J68" s="197"/>
      <x:c r="K68" s="197"/>
      <x:c r="L68" s="197"/>
      <x:c r="M68" s="197"/>
      <x:c r="N68" s="198" t="n">
        <x:f>IF(M68&lt;&gt;"",M68,IF(AND(K68&lt;&gt;"",L68&lt;&gt;""),K68*L68/60,0))</x:f>
        <x:v>0</x:v>
      </x:c>
      <x:c r="O68" s="198" t="n">
        <x:f>IF(E68="Fabio",Impostazioni!$B$4,IF(E68="Frego",Impostazioni!$B$5,IF(E68="Jessica",Impostazioni!$B$6,0)))</x:f>
        <x:v>0</x:v>
      </x:c>
      <x:c r="P68" s="198" t="n">
        <x:f>N68*O68</x:f>
        <x:v>0</x:v>
      </x:c>
      <x:c r="Q68" s="197"/>
      <x:c r="R68" s="197"/>
    </x:row>
    <x:row r="69">
      <x:c r="A69" s="197"/>
      <x:c r="B69" s="197"/>
      <x:c r="C69" s="197"/>
      <x:c r="D69" s="197"/>
      <x:c r="E69" s="197"/>
      <x:c r="F69" s="197"/>
      <x:c r="G69" s="197"/>
      <x:c r="H69" s="197"/>
      <x:c r="I69" s="197"/>
      <x:c r="J69" s="197"/>
      <x:c r="K69" s="197"/>
      <x:c r="L69" s="197"/>
      <x:c r="M69" s="197"/>
      <x:c r="N69" s="198" t="n">
        <x:f>IF(M69&lt;&gt;"",M69,IF(AND(K69&lt;&gt;"",L69&lt;&gt;""),K69*L69/60,0))</x:f>
        <x:v>0</x:v>
      </x:c>
      <x:c r="O69" s="198" t="n">
        <x:f>IF(E69="Fabio",Impostazioni!$B$4,IF(E69="Frego",Impostazioni!$B$5,IF(E69="Jessica",Impostazioni!$B$6,0)))</x:f>
        <x:v>0</x:v>
      </x:c>
      <x:c r="P69" s="198" t="n">
        <x:f>N69*O69</x:f>
        <x:v>0</x:v>
      </x:c>
      <x:c r="Q69" s="197"/>
      <x:c r="R69" s="197"/>
    </x:row>
    <x:row r="70">
      <x:c r="A70" s="197"/>
      <x:c r="B70" s="197"/>
      <x:c r="C70" s="197"/>
      <x:c r="D70" s="197"/>
      <x:c r="E70" s="197"/>
      <x:c r="F70" s="197"/>
      <x:c r="G70" s="197"/>
      <x:c r="H70" s="197"/>
      <x:c r="I70" s="197"/>
      <x:c r="J70" s="197"/>
      <x:c r="K70" s="197"/>
      <x:c r="L70" s="197"/>
      <x:c r="M70" s="197"/>
      <x:c r="N70" s="198" t="n">
        <x:f>IF(M70&lt;&gt;"",M70,IF(AND(K70&lt;&gt;"",L70&lt;&gt;""),K70*L70/60,0))</x:f>
        <x:v>0</x:v>
      </x:c>
      <x:c r="O70" s="198" t="n">
        <x:f>IF(E70="Fabio",Impostazioni!$B$4,IF(E70="Frego",Impostazioni!$B$5,IF(E70="Jessica",Impostazioni!$B$6,0)))</x:f>
        <x:v>0</x:v>
      </x:c>
      <x:c r="P70" s="198" t="n">
        <x:f>N70*O70</x:f>
        <x:v>0</x:v>
      </x:c>
      <x:c r="Q70" s="197"/>
      <x:c r="R70" s="197"/>
    </x:row>
    <x:row r="71">
      <x:c r="A71" s="197"/>
      <x:c r="B71" s="197"/>
      <x:c r="C71" s="197"/>
      <x:c r="D71" s="197"/>
      <x:c r="E71" s="197"/>
      <x:c r="F71" s="197"/>
      <x:c r="G71" s="197"/>
      <x:c r="H71" s="197"/>
      <x:c r="I71" s="197"/>
      <x:c r="J71" s="197"/>
      <x:c r="K71" s="197"/>
      <x:c r="L71" s="197"/>
      <x:c r="M71" s="197"/>
      <x:c r="N71" s="198" t="n">
        <x:f>IF(M71&lt;&gt;"",M71,IF(AND(K71&lt;&gt;"",L71&lt;&gt;""),K71*L71/60,0))</x:f>
        <x:v>0</x:v>
      </x:c>
      <x:c r="O71" s="198" t="n">
        <x:f>IF(E71="Fabio",Impostazioni!$B$4,IF(E71="Frego",Impostazioni!$B$5,IF(E71="Jessica",Impostazioni!$B$6,0)))</x:f>
        <x:v>0</x:v>
      </x:c>
      <x:c r="P71" s="198" t="n">
        <x:f>N71*O71</x:f>
        <x:v>0</x:v>
      </x:c>
      <x:c r="Q71" s="197"/>
      <x:c r="R71" s="197"/>
    </x:row>
    <x:row r="72">
      <x:c r="A72" s="197"/>
      <x:c r="B72" s="197"/>
      <x:c r="C72" s="197"/>
      <x:c r="D72" s="197"/>
      <x:c r="E72" s="197"/>
      <x:c r="F72" s="197"/>
      <x:c r="G72" s="197"/>
      <x:c r="H72" s="197"/>
      <x:c r="I72" s="197"/>
      <x:c r="J72" s="197"/>
      <x:c r="K72" s="197"/>
      <x:c r="L72" s="197"/>
      <x:c r="M72" s="197"/>
      <x:c r="N72" s="198" t="n">
        <x:f>IF(M72&lt;&gt;"",M72,IF(AND(K72&lt;&gt;"",L72&lt;&gt;""),K72*L72/60,0))</x:f>
        <x:v>0</x:v>
      </x:c>
      <x:c r="O72" s="198" t="n">
        <x:f>IF(E72="Fabio",Impostazioni!$B$4,IF(E72="Frego",Impostazioni!$B$5,IF(E72="Jessica",Impostazioni!$B$6,0)))</x:f>
        <x:v>0</x:v>
      </x:c>
      <x:c r="P72" s="198" t="n">
        <x:f>N72*O72</x:f>
        <x:v>0</x:v>
      </x:c>
      <x:c r="Q72" s="197"/>
      <x:c r="R72" s="197"/>
    </x:row>
    <x:row r="73">
      <x:c r="A73" s="197"/>
      <x:c r="B73" s="197"/>
      <x:c r="C73" s="197"/>
      <x:c r="D73" s="197"/>
      <x:c r="E73" s="197"/>
      <x:c r="F73" s="197"/>
      <x:c r="G73" s="197"/>
      <x:c r="H73" s="197"/>
      <x:c r="I73" s="197"/>
      <x:c r="J73" s="197"/>
      <x:c r="K73" s="197"/>
      <x:c r="L73" s="197"/>
      <x:c r="M73" s="197"/>
      <x:c r="N73" s="198" t="n">
        <x:f>IF(M73&lt;&gt;"",M73,IF(AND(K73&lt;&gt;"",L73&lt;&gt;""),K73*L73/60,0))</x:f>
        <x:v>0</x:v>
      </x:c>
      <x:c r="O73" s="198" t="n">
        <x:f>IF(E73="Fabio",Impostazioni!$B$4,IF(E73="Frego",Impostazioni!$B$5,IF(E73="Jessica",Impostazioni!$B$6,0)))</x:f>
        <x:v>0</x:v>
      </x:c>
      <x:c r="P73" s="198" t="n">
        <x:f>N73*O73</x:f>
        <x:v>0</x:v>
      </x:c>
      <x:c r="Q73" s="197"/>
      <x:c r="R73" s="197"/>
    </x:row>
    <x:row r="74">
      <x:c r="A74" s="197"/>
      <x:c r="B74" s="197"/>
      <x:c r="C74" s="197"/>
      <x:c r="D74" s="197"/>
      <x:c r="E74" s="197"/>
      <x:c r="F74" s="197"/>
      <x:c r="G74" s="197"/>
      <x:c r="H74" s="197"/>
      <x:c r="I74" s="197"/>
      <x:c r="J74" s="197"/>
      <x:c r="K74" s="197"/>
      <x:c r="L74" s="197"/>
      <x:c r="M74" s="197"/>
      <x:c r="N74" s="198" t="n">
        <x:f>IF(M74&lt;&gt;"",M74,IF(AND(K74&lt;&gt;"",L74&lt;&gt;""),K74*L74/60,0))</x:f>
        <x:v>0</x:v>
      </x:c>
      <x:c r="O74" s="198" t="n">
        <x:f>IF(E74="Fabio",Impostazioni!$B$4,IF(E74="Frego",Impostazioni!$B$5,IF(E74="Jessica",Impostazioni!$B$6,0)))</x:f>
        <x:v>0</x:v>
      </x:c>
      <x:c r="P74" s="198" t="n">
        <x:f>N74*O74</x:f>
        <x:v>0</x:v>
      </x:c>
      <x:c r="Q74" s="197"/>
      <x:c r="R74" s="197"/>
    </x:row>
    <x:row r="75">
      <x:c r="A75" s="197"/>
      <x:c r="B75" s="197"/>
      <x:c r="C75" s="197"/>
      <x:c r="D75" s="197"/>
      <x:c r="E75" s="197"/>
      <x:c r="F75" s="197"/>
      <x:c r="G75" s="197"/>
      <x:c r="H75" s="197"/>
      <x:c r="I75" s="197"/>
      <x:c r="J75" s="197"/>
      <x:c r="K75" s="197"/>
      <x:c r="L75" s="197"/>
      <x:c r="M75" s="197"/>
      <x:c r="N75" s="198" t="n">
        <x:f>IF(M75&lt;&gt;"",M75,IF(AND(K75&lt;&gt;"",L75&lt;&gt;""),K75*L75/60,0))</x:f>
        <x:v>0</x:v>
      </x:c>
      <x:c r="O75" s="198" t="n">
        <x:f>IF(E75="Fabio",Impostazioni!$B$4,IF(E75="Frego",Impostazioni!$B$5,IF(E75="Jessica",Impostazioni!$B$6,0)))</x:f>
        <x:v>0</x:v>
      </x:c>
      <x:c r="P75" s="198" t="n">
        <x:f>N75*O75</x:f>
        <x:v>0</x:v>
      </x:c>
      <x:c r="Q75" s="197"/>
      <x:c r="R75" s="197"/>
    </x:row>
    <x:row r="76">
      <x:c r="A76" s="197"/>
      <x:c r="B76" s="197"/>
      <x:c r="C76" s="197"/>
      <x:c r="D76" s="197"/>
      <x:c r="E76" s="197"/>
      <x:c r="F76" s="197"/>
      <x:c r="G76" s="197"/>
      <x:c r="H76" s="197"/>
      <x:c r="I76" s="197"/>
      <x:c r="J76" s="197"/>
      <x:c r="K76" s="197"/>
      <x:c r="L76" s="197"/>
      <x:c r="M76" s="197"/>
      <x:c r="N76" s="198" t="n">
        <x:f>IF(M76&lt;&gt;"",M76,IF(AND(K76&lt;&gt;"",L76&lt;&gt;""),K76*L76/60,0))</x:f>
        <x:v>0</x:v>
      </x:c>
      <x:c r="O76" s="198" t="n">
        <x:f>IF(E76="Fabio",Impostazioni!$B$4,IF(E76="Frego",Impostazioni!$B$5,IF(E76="Jessica",Impostazioni!$B$6,0)))</x:f>
        <x:v>0</x:v>
      </x:c>
      <x:c r="P76" s="198" t="n">
        <x:f>N76*O76</x:f>
        <x:v>0</x:v>
      </x:c>
      <x:c r="Q76" s="197"/>
      <x:c r="R76" s="197"/>
    </x:row>
    <x:row r="77">
      <x:c r="A77" s="197"/>
      <x:c r="B77" s="197"/>
      <x:c r="C77" s="197"/>
      <x:c r="D77" s="197"/>
      <x:c r="E77" s="197"/>
      <x:c r="F77" s="197"/>
      <x:c r="G77" s="197"/>
      <x:c r="H77" s="197"/>
      <x:c r="I77" s="197"/>
      <x:c r="J77" s="197"/>
      <x:c r="K77" s="197"/>
      <x:c r="L77" s="197"/>
      <x:c r="M77" s="197"/>
      <x:c r="N77" s="198" t="n">
        <x:f>IF(M77&lt;&gt;"",M77,IF(AND(K77&lt;&gt;"",L77&lt;&gt;""),K77*L77/60,0))</x:f>
        <x:v>0</x:v>
      </x:c>
      <x:c r="O77" s="198" t="n">
        <x:f>IF(E77="Fabio",Impostazioni!$B$4,IF(E77="Frego",Impostazioni!$B$5,IF(E77="Jessica",Impostazioni!$B$6,0)))</x:f>
        <x:v>0</x:v>
      </x:c>
      <x:c r="P77" s="198" t="n">
        <x:f>N77*O77</x:f>
        <x:v>0</x:v>
      </x:c>
      <x:c r="Q77" s="197"/>
      <x:c r="R77" s="197"/>
    </x:row>
    <x:row r="78">
      <x:c r="A78" s="197"/>
      <x:c r="B78" s="197"/>
      <x:c r="C78" s="197"/>
      <x:c r="D78" s="197"/>
      <x:c r="E78" s="197"/>
      <x:c r="F78" s="197"/>
      <x:c r="G78" s="197"/>
      <x:c r="H78" s="197"/>
      <x:c r="I78" s="197"/>
      <x:c r="J78" s="197"/>
      <x:c r="K78" s="197"/>
      <x:c r="L78" s="197"/>
      <x:c r="M78" s="197"/>
      <x:c r="N78" s="198" t="n">
        <x:f>IF(M78&lt;&gt;"",M78,IF(AND(K78&lt;&gt;"",L78&lt;&gt;""),K78*L78/60,0))</x:f>
        <x:v>0</x:v>
      </x:c>
      <x:c r="O78" s="198" t="n">
        <x:f>IF(E78="Fabio",Impostazioni!$B$4,IF(E78="Frego",Impostazioni!$B$5,IF(E78="Jessica",Impostazioni!$B$6,0)))</x:f>
        <x:v>0</x:v>
      </x:c>
      <x:c r="P78" s="198" t="n">
        <x:f>N78*O78</x:f>
        <x:v>0</x:v>
      </x:c>
      <x:c r="Q78" s="197"/>
      <x:c r="R78" s="197"/>
    </x:row>
    <x:row r="79">
      <x:c r="A79" s="197"/>
      <x:c r="B79" s="197"/>
      <x:c r="C79" s="197"/>
      <x:c r="D79" s="197"/>
      <x:c r="E79" s="197"/>
      <x:c r="F79" s="197"/>
      <x:c r="G79" s="197"/>
      <x:c r="H79" s="197"/>
      <x:c r="I79" s="197"/>
      <x:c r="J79" s="197"/>
      <x:c r="K79" s="197"/>
      <x:c r="L79" s="197"/>
      <x:c r="M79" s="197"/>
      <x:c r="N79" s="198" t="n">
        <x:f>IF(M79&lt;&gt;"",M79,IF(AND(K79&lt;&gt;"",L79&lt;&gt;""),K79*L79/60,0))</x:f>
        <x:v>0</x:v>
      </x:c>
      <x:c r="O79" s="198" t="n">
        <x:f>IF(E79="Fabio",Impostazioni!$B$4,IF(E79="Frego",Impostazioni!$B$5,IF(E79="Jessica",Impostazioni!$B$6,0)))</x:f>
        <x:v>0</x:v>
      </x:c>
      <x:c r="P79" s="198" t="n">
        <x:f>N79*O79</x:f>
        <x:v>0</x:v>
      </x:c>
      <x:c r="Q79" s="197"/>
      <x:c r="R79" s="197"/>
    </x:row>
    <x:row r="80">
      <x:c r="A80" s="197"/>
      <x:c r="B80" s="197"/>
      <x:c r="C80" s="197"/>
      <x:c r="D80" s="197"/>
      <x:c r="E80" s="197"/>
      <x:c r="F80" s="197"/>
      <x:c r="G80" s="197"/>
      <x:c r="H80" s="197"/>
      <x:c r="I80" s="197"/>
      <x:c r="J80" s="197"/>
      <x:c r="K80" s="197"/>
      <x:c r="L80" s="197"/>
      <x:c r="M80" s="197"/>
      <x:c r="N80" s="198" t="n">
        <x:f>IF(M80&lt;&gt;"",M80,IF(AND(K80&lt;&gt;"",L80&lt;&gt;""),K80*L80/60,0))</x:f>
        <x:v>0</x:v>
      </x:c>
      <x:c r="O80" s="198" t="n">
        <x:f>IF(E80="Fabio",Impostazioni!$B$4,IF(E80="Frego",Impostazioni!$B$5,IF(E80="Jessica",Impostazioni!$B$6,0)))</x:f>
        <x:v>0</x:v>
      </x:c>
      <x:c r="P80" s="198" t="n">
        <x:f>N80*O80</x:f>
        <x:v>0</x:v>
      </x:c>
      <x:c r="Q80" s="197"/>
      <x:c r="R80" s="197"/>
    </x:row>
    <x:row r="81">
      <x:c r="A81" s="197"/>
      <x:c r="B81" s="197"/>
      <x:c r="C81" s="197"/>
      <x:c r="D81" s="197"/>
      <x:c r="E81" s="197"/>
      <x:c r="F81" s="197"/>
      <x:c r="G81" s="197"/>
      <x:c r="H81" s="197"/>
      <x:c r="I81" s="197"/>
      <x:c r="J81" s="197"/>
      <x:c r="K81" s="197"/>
      <x:c r="L81" s="197"/>
      <x:c r="M81" s="197"/>
      <x:c r="N81" s="198" t="n">
        <x:f>IF(M81&lt;&gt;"",M81,IF(AND(K81&lt;&gt;"",L81&lt;&gt;""),K81*L81/60,0))</x:f>
        <x:v>0</x:v>
      </x:c>
      <x:c r="O81" s="198" t="n">
        <x:f>IF(E81="Fabio",Impostazioni!$B$4,IF(E81="Frego",Impostazioni!$B$5,IF(E81="Jessica",Impostazioni!$B$6,0)))</x:f>
        <x:v>0</x:v>
      </x:c>
      <x:c r="P81" s="198" t="n">
        <x:f>N81*O81</x:f>
        <x:v>0</x:v>
      </x:c>
      <x:c r="Q81" s="197"/>
      <x:c r="R81" s="197"/>
    </x:row>
    <x:row r="82">
      <x:c r="A82" s="197"/>
      <x:c r="B82" s="197"/>
      <x:c r="C82" s="197"/>
      <x:c r="D82" s="197"/>
      <x:c r="E82" s="197"/>
      <x:c r="F82" s="197"/>
      <x:c r="G82" s="197"/>
      <x:c r="H82" s="197"/>
      <x:c r="I82" s="197"/>
      <x:c r="J82" s="197"/>
      <x:c r="K82" s="197"/>
      <x:c r="L82" s="197"/>
      <x:c r="M82" s="197"/>
      <x:c r="N82" s="198" t="n">
        <x:f>IF(M82&lt;&gt;"",M82,IF(AND(K82&lt;&gt;"",L82&lt;&gt;""),K82*L82/60,0))</x:f>
        <x:v>0</x:v>
      </x:c>
      <x:c r="O82" s="198" t="n">
        <x:f>IF(E82="Fabio",Impostazioni!$B$4,IF(E82="Frego",Impostazioni!$B$5,IF(E82="Jessica",Impostazioni!$B$6,0)))</x:f>
        <x:v>0</x:v>
      </x:c>
      <x:c r="P82" s="198" t="n">
        <x:f>N82*O82</x:f>
        <x:v>0</x:v>
      </x:c>
      <x:c r="Q82" s="197"/>
      <x:c r="R82" s="197"/>
    </x:row>
    <x:row r="83">
      <x:c r="A83" s="197"/>
      <x:c r="B83" s="197"/>
      <x:c r="C83" s="197"/>
      <x:c r="D83" s="197"/>
      <x:c r="E83" s="197"/>
      <x:c r="F83" s="197"/>
      <x:c r="G83" s="197"/>
      <x:c r="H83" s="197"/>
      <x:c r="I83" s="197"/>
      <x:c r="J83" s="197"/>
      <x:c r="K83" s="197"/>
      <x:c r="L83" s="197"/>
      <x:c r="M83" s="197"/>
      <x:c r="N83" s="198" t="n">
        <x:f>IF(M83&lt;&gt;"",M83,IF(AND(K83&lt;&gt;"",L83&lt;&gt;""),K83*L83/60,0))</x:f>
        <x:v>0</x:v>
      </x:c>
      <x:c r="O83" s="198" t="n">
        <x:f>IF(E83="Fabio",Impostazioni!$B$4,IF(E83="Frego",Impostazioni!$B$5,IF(E83="Jessica",Impostazioni!$B$6,0)))</x:f>
        <x:v>0</x:v>
      </x:c>
      <x:c r="P83" s="198" t="n">
        <x:f>N83*O83</x:f>
        <x:v>0</x:v>
      </x:c>
      <x:c r="Q83" s="197"/>
      <x:c r="R83" s="197"/>
    </x:row>
    <x:row r="84">
      <x:c r="A84" s="197"/>
      <x:c r="B84" s="197"/>
      <x:c r="C84" s="197"/>
      <x:c r="D84" s="197"/>
      <x:c r="E84" s="197"/>
      <x:c r="F84" s="197"/>
      <x:c r="G84" s="197"/>
      <x:c r="H84" s="197"/>
      <x:c r="I84" s="197"/>
      <x:c r="J84" s="197"/>
      <x:c r="K84" s="197"/>
      <x:c r="L84" s="197"/>
      <x:c r="M84" s="197"/>
      <x:c r="N84" s="198" t="n">
        <x:f>IF(M84&lt;&gt;"",M84,IF(AND(K84&lt;&gt;"",L84&lt;&gt;""),K84*L84/60,0))</x:f>
        <x:v>0</x:v>
      </x:c>
      <x:c r="O84" s="198" t="n">
        <x:f>IF(E84="Fabio",Impostazioni!$B$4,IF(E84="Frego",Impostazioni!$B$5,IF(E84="Jessica",Impostazioni!$B$6,0)))</x:f>
        <x:v>0</x:v>
      </x:c>
      <x:c r="P84" s="198" t="n">
        <x:f>N84*O84</x:f>
        <x:v>0</x:v>
      </x:c>
      <x:c r="Q84" s="197"/>
      <x:c r="R84" s="197"/>
    </x:row>
    <x:row r="85">
      <x:c r="A85" s="197"/>
      <x:c r="B85" s="197"/>
      <x:c r="C85" s="197"/>
      <x:c r="D85" s="197"/>
      <x:c r="E85" s="197"/>
      <x:c r="F85" s="197"/>
      <x:c r="G85" s="197"/>
      <x:c r="H85" s="197"/>
      <x:c r="I85" s="197"/>
      <x:c r="J85" s="197"/>
      <x:c r="K85" s="197"/>
      <x:c r="L85" s="197"/>
      <x:c r="M85" s="197"/>
      <x:c r="N85" s="198" t="n">
        <x:f>IF(M85&lt;&gt;"",M85,IF(AND(K85&lt;&gt;"",L85&lt;&gt;""),K85*L85/60,0))</x:f>
        <x:v>0</x:v>
      </x:c>
      <x:c r="O85" s="198" t="n">
        <x:f>IF(E85="Fabio",Impostazioni!$B$4,IF(E85="Frego",Impostazioni!$B$5,IF(E85="Jessica",Impostazioni!$B$6,0)))</x:f>
        <x:v>0</x:v>
      </x:c>
      <x:c r="P85" s="198" t="n">
        <x:f>N85*O85</x:f>
        <x:v>0</x:v>
      </x:c>
      <x:c r="Q85" s="197"/>
      <x:c r="R85" s="197"/>
    </x:row>
    <x:row r="86">
      <x:c r="A86" s="197"/>
      <x:c r="B86" s="197"/>
      <x:c r="C86" s="197"/>
      <x:c r="D86" s="197"/>
      <x:c r="E86" s="197"/>
      <x:c r="F86" s="197"/>
      <x:c r="G86" s="197"/>
      <x:c r="H86" s="197"/>
      <x:c r="I86" s="197"/>
      <x:c r="J86" s="197"/>
      <x:c r="K86" s="197"/>
      <x:c r="L86" s="197"/>
      <x:c r="M86" s="197"/>
      <x:c r="N86" s="198" t="n">
        <x:f>IF(M86&lt;&gt;"",M86,IF(AND(K86&lt;&gt;"",L86&lt;&gt;""),K86*L86/60,0))</x:f>
        <x:v>0</x:v>
      </x:c>
      <x:c r="O86" s="198" t="n">
        <x:f>IF(E86="Fabio",Impostazioni!$B$4,IF(E86="Frego",Impostazioni!$B$5,IF(E86="Jessica",Impostazioni!$B$6,0)))</x:f>
        <x:v>0</x:v>
      </x:c>
      <x:c r="P86" s="198" t="n">
        <x:f>N86*O86</x:f>
        <x:v>0</x:v>
      </x:c>
      <x:c r="Q86" s="197"/>
      <x:c r="R86" s="197"/>
    </x:row>
    <x:row r="87">
      <x:c r="A87" s="197"/>
      <x:c r="B87" s="197"/>
      <x:c r="C87" s="197"/>
      <x:c r="D87" s="197"/>
      <x:c r="E87" s="197"/>
      <x:c r="F87" s="197"/>
      <x:c r="G87" s="197"/>
      <x:c r="H87" s="197"/>
      <x:c r="I87" s="197"/>
      <x:c r="J87" s="197"/>
      <x:c r="K87" s="197"/>
      <x:c r="L87" s="197"/>
      <x:c r="M87" s="197"/>
      <x:c r="N87" s="198" t="n">
        <x:f>IF(M87&lt;&gt;"",M87,IF(AND(K87&lt;&gt;"",L87&lt;&gt;""),K87*L87/60,0))</x:f>
        <x:v>0</x:v>
      </x:c>
      <x:c r="O87" s="198" t="n">
        <x:f>IF(E87="Fabio",Impostazioni!$B$4,IF(E87="Frego",Impostazioni!$B$5,IF(E87="Jessica",Impostazioni!$B$6,0)))</x:f>
        <x:v>0</x:v>
      </x:c>
      <x:c r="P87" s="198" t="n">
        <x:f>N87*O87</x:f>
        <x:v>0</x:v>
      </x:c>
      <x:c r="Q87" s="197"/>
      <x:c r="R87" s="197"/>
    </x:row>
    <x:row r="88">
      <x:c r="A88" s="197"/>
      <x:c r="B88" s="197"/>
      <x:c r="C88" s="197"/>
      <x:c r="D88" s="197"/>
      <x:c r="E88" s="197"/>
      <x:c r="F88" s="197"/>
      <x:c r="G88" s="197"/>
      <x:c r="H88" s="197"/>
      <x:c r="I88" s="197"/>
      <x:c r="J88" s="197"/>
      <x:c r="K88" s="197"/>
      <x:c r="L88" s="197"/>
      <x:c r="M88" s="197"/>
      <x:c r="N88" s="198" t="n">
        <x:f>IF(M88&lt;&gt;"",M88,IF(AND(K88&lt;&gt;"",L88&lt;&gt;""),K88*L88/60,0))</x:f>
        <x:v>0</x:v>
      </x:c>
      <x:c r="O88" s="198" t="n">
        <x:f>IF(E88="Fabio",Impostazioni!$B$4,IF(E88="Frego",Impostazioni!$B$5,IF(E88="Jessica",Impostazioni!$B$6,0)))</x:f>
        <x:v>0</x:v>
      </x:c>
      <x:c r="P88" s="198" t="n">
        <x:f>N88*O88</x:f>
        <x:v>0</x:v>
      </x:c>
      <x:c r="Q88" s="197"/>
      <x:c r="R88" s="197"/>
    </x:row>
    <x:row r="89">
      <x:c r="A89" s="197"/>
      <x:c r="B89" s="197"/>
      <x:c r="C89" s="197"/>
      <x:c r="D89" s="197"/>
      <x:c r="E89" s="197"/>
      <x:c r="F89" s="197"/>
      <x:c r="G89" s="197"/>
      <x:c r="H89" s="197"/>
      <x:c r="I89" s="197"/>
      <x:c r="J89" s="197"/>
      <x:c r="K89" s="197"/>
      <x:c r="L89" s="197"/>
      <x:c r="M89" s="197"/>
      <x:c r="N89" s="198" t="n">
        <x:f>IF(M89&lt;&gt;"",M89,IF(AND(K89&lt;&gt;"",L89&lt;&gt;""),K89*L89/60,0))</x:f>
        <x:v>0</x:v>
      </x:c>
      <x:c r="O89" s="198" t="n">
        <x:f>IF(E89="Fabio",Impostazioni!$B$4,IF(E89="Frego",Impostazioni!$B$5,IF(E89="Jessica",Impostazioni!$B$6,0)))</x:f>
        <x:v>0</x:v>
      </x:c>
      <x:c r="P89" s="198" t="n">
        <x:f>N89*O89</x:f>
        <x:v>0</x:v>
      </x:c>
      <x:c r="Q89" s="197"/>
      <x:c r="R89" s="197"/>
    </x:row>
    <x:row r="90">
      <x:c r="A90" s="197"/>
      <x:c r="B90" s="197"/>
      <x:c r="C90" s="197"/>
      <x:c r="D90" s="197"/>
      <x:c r="E90" s="197"/>
      <x:c r="F90" s="197"/>
      <x:c r="G90" s="197"/>
      <x:c r="H90" s="197"/>
      <x:c r="I90" s="197"/>
      <x:c r="J90" s="197"/>
      <x:c r="K90" s="197"/>
      <x:c r="L90" s="197"/>
      <x:c r="M90" s="197"/>
      <x:c r="N90" s="198" t="n">
        <x:f>IF(M90&lt;&gt;"",M90,IF(AND(K90&lt;&gt;"",L90&lt;&gt;""),K90*L90/60,0))</x:f>
        <x:v>0</x:v>
      </x:c>
      <x:c r="O90" s="198" t="n">
        <x:f>IF(E90="Fabio",Impostazioni!$B$4,IF(E90="Frego",Impostazioni!$B$5,IF(E90="Jessica",Impostazioni!$B$6,0)))</x:f>
        <x:v>0</x:v>
      </x:c>
      <x:c r="P90" s="198" t="n">
        <x:f>N90*O90</x:f>
        <x:v>0</x:v>
      </x:c>
      <x:c r="Q90" s="197"/>
      <x:c r="R90" s="197"/>
    </x:row>
    <x:row r="91">
      <x:c r="A91" s="197"/>
      <x:c r="B91" s="197"/>
      <x:c r="C91" s="197"/>
      <x:c r="D91" s="197"/>
      <x:c r="E91" s="197"/>
      <x:c r="F91" s="197"/>
      <x:c r="G91" s="197"/>
      <x:c r="H91" s="197"/>
      <x:c r="I91" s="197"/>
      <x:c r="J91" s="197"/>
      <x:c r="K91" s="197"/>
      <x:c r="L91" s="197"/>
      <x:c r="M91" s="197"/>
      <x:c r="N91" s="198" t="n">
        <x:f>IF(M91&lt;&gt;"",M91,IF(AND(K91&lt;&gt;"",L91&lt;&gt;""),K91*L91/60,0))</x:f>
        <x:v>0</x:v>
      </x:c>
      <x:c r="O91" s="198" t="n">
        <x:f>IF(E91="Fabio",Impostazioni!$B$4,IF(E91="Frego",Impostazioni!$B$5,IF(E91="Jessica",Impostazioni!$B$6,0)))</x:f>
        <x:v>0</x:v>
      </x:c>
      <x:c r="P91" s="198" t="n">
        <x:f>N91*O91</x:f>
        <x:v>0</x:v>
      </x:c>
      <x:c r="Q91" s="197"/>
      <x:c r="R91" s="197"/>
    </x:row>
    <x:row r="92">
      <x:c r="A92" s="197"/>
      <x:c r="B92" s="197"/>
      <x:c r="C92" s="197"/>
      <x:c r="D92" s="197"/>
      <x:c r="E92" s="197"/>
      <x:c r="F92" s="197"/>
      <x:c r="G92" s="197"/>
      <x:c r="H92" s="197"/>
      <x:c r="I92" s="197"/>
      <x:c r="J92" s="197"/>
      <x:c r="K92" s="197"/>
      <x:c r="L92" s="197"/>
      <x:c r="M92" s="197"/>
      <x:c r="N92" s="198" t="n">
        <x:f>IF(M92&lt;&gt;"",M92,IF(AND(K92&lt;&gt;"",L92&lt;&gt;""),K92*L92/60,0))</x:f>
        <x:v>0</x:v>
      </x:c>
      <x:c r="O92" s="198" t="n">
        <x:f>IF(E92="Fabio",Impostazioni!$B$4,IF(E92="Frego",Impostazioni!$B$5,IF(E92="Jessica",Impostazioni!$B$6,0)))</x:f>
        <x:v>0</x:v>
      </x:c>
      <x:c r="P92" s="198" t="n">
        <x:f>N92*O92</x:f>
        <x:v>0</x:v>
      </x:c>
      <x:c r="Q92" s="197"/>
      <x:c r="R92" s="197"/>
    </x:row>
    <x:row r="93">
      <x:c r="A93" s="197"/>
      <x:c r="B93" s="197"/>
      <x:c r="C93" s="197"/>
      <x:c r="D93" s="197"/>
      <x:c r="E93" s="197"/>
      <x:c r="F93" s="197"/>
      <x:c r="G93" s="197"/>
      <x:c r="H93" s="197"/>
      <x:c r="I93" s="197"/>
      <x:c r="J93" s="197"/>
      <x:c r="K93" s="197"/>
      <x:c r="L93" s="197"/>
      <x:c r="M93" s="197"/>
      <x:c r="N93" s="198" t="n">
        <x:f>IF(M93&lt;&gt;"",M93,IF(AND(K93&lt;&gt;"",L93&lt;&gt;""),K93*L93/60,0))</x:f>
        <x:v>0</x:v>
      </x:c>
      <x:c r="O93" s="198" t="n">
        <x:f>IF(E93="Fabio",Impostazioni!$B$4,IF(E93="Frego",Impostazioni!$B$5,IF(E93="Jessica",Impostazioni!$B$6,0)))</x:f>
        <x:v>0</x:v>
      </x:c>
      <x:c r="P93" s="198" t="n">
        <x:f>N93*O93</x:f>
        <x:v>0</x:v>
      </x:c>
      <x:c r="Q93" s="197"/>
      <x:c r="R93" s="197"/>
    </x:row>
    <x:row r="94">
      <x:c r="A94" s="197"/>
      <x:c r="B94" s="197"/>
      <x:c r="C94" s="197"/>
      <x:c r="D94" s="197"/>
      <x:c r="E94" s="197"/>
      <x:c r="F94" s="197"/>
      <x:c r="G94" s="197"/>
      <x:c r="H94" s="197"/>
      <x:c r="I94" s="197"/>
      <x:c r="J94" s="197"/>
      <x:c r="K94" s="197"/>
      <x:c r="L94" s="197"/>
      <x:c r="M94" s="197"/>
      <x:c r="N94" s="198" t="n">
        <x:f>IF(M94&lt;&gt;"",M94,IF(AND(K94&lt;&gt;"",L94&lt;&gt;""),K94*L94/60,0))</x:f>
        <x:v>0</x:v>
      </x:c>
      <x:c r="O94" s="198" t="n">
        <x:f>IF(E94="Fabio",Impostazioni!$B$4,IF(E94="Frego",Impostazioni!$B$5,IF(E94="Jessica",Impostazioni!$B$6,0)))</x:f>
        <x:v>0</x:v>
      </x:c>
      <x:c r="P94" s="198" t="n">
        <x:f>N94*O94</x:f>
        <x:v>0</x:v>
      </x:c>
      <x:c r="Q94" s="197"/>
      <x:c r="R94" s="197"/>
    </x:row>
    <x:row r="95">
      <x:c r="A95" s="197"/>
      <x:c r="B95" s="197"/>
      <x:c r="C95" s="197"/>
      <x:c r="D95" s="197"/>
      <x:c r="E95" s="197"/>
      <x:c r="F95" s="197"/>
      <x:c r="G95" s="197"/>
      <x:c r="H95" s="197"/>
      <x:c r="I95" s="197"/>
      <x:c r="J95" s="197"/>
      <x:c r="K95" s="197"/>
      <x:c r="L95" s="197"/>
      <x:c r="M95" s="197"/>
      <x:c r="N95" s="198" t="n">
        <x:f>IF(M95&lt;&gt;"",M95,IF(AND(K95&lt;&gt;"",L95&lt;&gt;""),K95*L95/60,0))</x:f>
        <x:v>0</x:v>
      </x:c>
      <x:c r="O95" s="198" t="n">
        <x:f>IF(E95="Fabio",Impostazioni!$B$4,IF(E95="Frego",Impostazioni!$B$5,IF(E95="Jessica",Impostazioni!$B$6,0)))</x:f>
        <x:v>0</x:v>
      </x:c>
      <x:c r="P95" s="198" t="n">
        <x:f>N95*O95</x:f>
        <x:v>0</x:v>
      </x:c>
      <x:c r="Q95" s="197"/>
      <x:c r="R95" s="197"/>
    </x:row>
    <x:row r="96">
      <x:c r="A96" s="197"/>
      <x:c r="B96" s="197"/>
      <x:c r="C96" s="197"/>
      <x:c r="D96" s="197"/>
      <x:c r="E96" s="197"/>
      <x:c r="F96" s="197"/>
      <x:c r="G96" s="197"/>
      <x:c r="H96" s="197"/>
      <x:c r="I96" s="197"/>
      <x:c r="J96" s="197"/>
      <x:c r="K96" s="197"/>
      <x:c r="L96" s="197"/>
      <x:c r="M96" s="197"/>
      <x:c r="N96" s="198" t="n">
        <x:f>IF(M96&lt;&gt;"",M96,IF(AND(K96&lt;&gt;"",L96&lt;&gt;""),K96*L96/60,0))</x:f>
        <x:v>0</x:v>
      </x:c>
      <x:c r="O96" s="198" t="n">
        <x:f>IF(E96="Fabio",Impostazioni!$B$4,IF(E96="Frego",Impostazioni!$B$5,IF(E96="Jessica",Impostazioni!$B$6,0)))</x:f>
        <x:v>0</x:v>
      </x:c>
      <x:c r="P96" s="198" t="n">
        <x:f>N96*O96</x:f>
        <x:v>0</x:v>
      </x:c>
      <x:c r="Q96" s="197"/>
      <x:c r="R96" s="197"/>
    </x:row>
    <x:row r="97">
      <x:c r="A97" s="197"/>
      <x:c r="B97" s="197"/>
      <x:c r="C97" s="197"/>
      <x:c r="D97" s="197"/>
      <x:c r="E97" s="197"/>
      <x:c r="F97" s="197"/>
      <x:c r="G97" s="197"/>
      <x:c r="H97" s="197"/>
      <x:c r="I97" s="197"/>
      <x:c r="J97" s="197"/>
      <x:c r="K97" s="197"/>
      <x:c r="L97" s="197"/>
      <x:c r="M97" s="197"/>
      <x:c r="N97" s="198" t="n">
        <x:f>IF(M97&lt;&gt;"",M97,IF(AND(K97&lt;&gt;"",L97&lt;&gt;""),K97*L97/60,0))</x:f>
        <x:v>0</x:v>
      </x:c>
      <x:c r="O97" s="198" t="n">
        <x:f>IF(E97="Fabio",Impostazioni!$B$4,IF(E97="Frego",Impostazioni!$B$5,IF(E97="Jessica",Impostazioni!$B$6,0)))</x:f>
        <x:v>0</x:v>
      </x:c>
      <x:c r="P97" s="198" t="n">
        <x:f>N97*O97</x:f>
        <x:v>0</x:v>
      </x:c>
      <x:c r="Q97" s="197"/>
      <x:c r="R97" s="197"/>
    </x:row>
    <x:row r="98">
      <x:c r="A98" s="197"/>
      <x:c r="B98" s="197"/>
      <x:c r="C98" s="197"/>
      <x:c r="D98" s="197"/>
      <x:c r="E98" s="197"/>
      <x:c r="F98" s="197"/>
      <x:c r="G98" s="197"/>
      <x:c r="H98" s="197"/>
      <x:c r="I98" s="197"/>
      <x:c r="J98" s="197"/>
      <x:c r="K98" s="197"/>
      <x:c r="L98" s="197"/>
      <x:c r="M98" s="197"/>
      <x:c r="N98" s="198" t="n">
        <x:f>IF(M98&lt;&gt;"",M98,IF(AND(K98&lt;&gt;"",L98&lt;&gt;""),K98*L98/60,0))</x:f>
        <x:v>0</x:v>
      </x:c>
      <x:c r="O98" s="198" t="n">
        <x:f>IF(E98="Fabio",Impostazioni!$B$4,IF(E98="Frego",Impostazioni!$B$5,IF(E98="Jessica",Impostazioni!$B$6,0)))</x:f>
        <x:v>0</x:v>
      </x:c>
      <x:c r="P98" s="198" t="n">
        <x:f>N98*O98</x:f>
        <x:v>0</x:v>
      </x:c>
      <x:c r="Q98" s="197"/>
      <x:c r="R98" s="197"/>
    </x:row>
    <x:row r="99">
      <x:c r="A99" s="197"/>
      <x:c r="B99" s="197"/>
      <x:c r="C99" s="197"/>
      <x:c r="D99" s="197"/>
      <x:c r="E99" s="197"/>
      <x:c r="F99" s="197"/>
      <x:c r="G99" s="197"/>
      <x:c r="H99" s="197"/>
      <x:c r="I99" s="197"/>
      <x:c r="J99" s="197"/>
      <x:c r="K99" s="197"/>
      <x:c r="L99" s="197"/>
      <x:c r="M99" s="197"/>
      <x:c r="N99" s="198" t="n">
        <x:f>IF(M99&lt;&gt;"",M99,IF(AND(K99&lt;&gt;"",L99&lt;&gt;""),K99*L99/60,0))</x:f>
        <x:v>0</x:v>
      </x:c>
      <x:c r="O99" s="198" t="n">
        <x:f>IF(E99="Fabio",Impostazioni!$B$4,IF(E99="Frego",Impostazioni!$B$5,IF(E99="Jessica",Impostazioni!$B$6,0)))</x:f>
        <x:v>0</x:v>
      </x:c>
      <x:c r="P99" s="198" t="n">
        <x:f>N99*O99</x:f>
        <x:v>0</x:v>
      </x:c>
      <x:c r="Q99" s="197"/>
      <x:c r="R99" s="197"/>
    </x:row>
    <x:row r="100">
      <x:c r="A100" s="197"/>
      <x:c r="B100" s="197"/>
      <x:c r="C100" s="197"/>
      <x:c r="D100" s="197"/>
      <x:c r="E100" s="197"/>
      <x:c r="F100" s="197"/>
      <x:c r="G100" s="197"/>
      <x:c r="H100" s="197"/>
      <x:c r="I100" s="197"/>
      <x:c r="J100" s="197"/>
      <x:c r="K100" s="197"/>
      <x:c r="L100" s="197"/>
      <x:c r="M100" s="197"/>
      <x:c r="N100" s="198" t="n">
        <x:f>IF(M100&lt;&gt;"",M100,IF(AND(K100&lt;&gt;"",L100&lt;&gt;""),K100*L100/60,0))</x:f>
        <x:v>0</x:v>
      </x:c>
      <x:c r="O100" s="198" t="n">
        <x:f>IF(E100="Fabio",Impostazioni!$B$4,IF(E100="Frego",Impostazioni!$B$5,IF(E100="Jessica",Impostazioni!$B$6,0)))</x:f>
        <x:v>0</x:v>
      </x:c>
      <x:c r="P100" s="198" t="n">
        <x:f>N100*O100</x:f>
        <x:v>0</x:v>
      </x:c>
      <x:c r="Q100" s="197"/>
      <x:c r="R100" s="197"/>
    </x:row>
    <x:row r="101">
      <x:c r="A101" s="197"/>
      <x:c r="B101" s="197"/>
      <x:c r="C101" s="197"/>
      <x:c r="D101" s="197"/>
      <x:c r="E101" s="197"/>
      <x:c r="F101" s="197"/>
      <x:c r="G101" s="197"/>
      <x:c r="H101" s="197"/>
      <x:c r="I101" s="197"/>
      <x:c r="J101" s="197"/>
      <x:c r="K101" s="197"/>
      <x:c r="L101" s="197"/>
      <x:c r="M101" s="197"/>
      <x:c r="N101" s="198" t="n">
        <x:f>IF(M101&lt;&gt;"",M101,IF(AND(K101&lt;&gt;"",L101&lt;&gt;""),K101*L101/60,0))</x:f>
        <x:v>0</x:v>
      </x:c>
      <x:c r="O101" s="198" t="n">
        <x:f>IF(E101="Fabio",Impostazioni!$B$4,IF(E101="Frego",Impostazioni!$B$5,IF(E101="Jessica",Impostazioni!$B$6,0)))</x:f>
        <x:v>0</x:v>
      </x:c>
      <x:c r="P101" s="198" t="n">
        <x:f>N101*O101</x:f>
        <x:v>0</x:v>
      </x:c>
      <x:c r="Q101" s="197"/>
      <x:c r="R101" s="197"/>
    </x:row>
    <x:row r="102">
      <x:c r="A102" s="197"/>
      <x:c r="B102" s="197"/>
      <x:c r="C102" s="197"/>
      <x:c r="D102" s="197"/>
      <x:c r="E102" s="197"/>
      <x:c r="F102" s="197"/>
      <x:c r="G102" s="197"/>
      <x:c r="H102" s="197"/>
      <x:c r="I102" s="197"/>
      <x:c r="J102" s="197"/>
      <x:c r="K102" s="197"/>
      <x:c r="L102" s="197"/>
      <x:c r="M102" s="197"/>
      <x:c r="N102" s="198" t="n">
        <x:f>IF(M102&lt;&gt;"",M102,IF(AND(K102&lt;&gt;"",L102&lt;&gt;""),K102*L102/60,0))</x:f>
        <x:v>0</x:v>
      </x:c>
      <x:c r="O102" s="198" t="n">
        <x:f>IF(E102="Fabio",Impostazioni!$B$4,IF(E102="Frego",Impostazioni!$B$5,IF(E102="Jessica",Impostazioni!$B$6,0)))</x:f>
        <x:v>0</x:v>
      </x:c>
      <x:c r="P102" s="198" t="n">
        <x:f>N102*O102</x:f>
        <x:v>0</x:v>
      </x:c>
      <x:c r="Q102" s="197"/>
      <x:c r="R102" s="197"/>
    </x:row>
    <x:row r="103">
      <x:c r="A103" s="197"/>
      <x:c r="B103" s="197"/>
      <x:c r="C103" s="197"/>
      <x:c r="D103" s="197"/>
      <x:c r="E103" s="197"/>
      <x:c r="F103" s="197"/>
      <x:c r="G103" s="197"/>
      <x:c r="H103" s="197"/>
      <x:c r="I103" s="197"/>
      <x:c r="J103" s="197"/>
      <x:c r="K103" s="197"/>
      <x:c r="L103" s="197"/>
      <x:c r="M103" s="197"/>
      <x:c r="N103" s="198" t="n">
        <x:f>IF(M103&lt;&gt;"",M103,IF(AND(K103&lt;&gt;"",L103&lt;&gt;""),K103*L103/60,0))</x:f>
        <x:v>0</x:v>
      </x:c>
      <x:c r="O103" s="198" t="n">
        <x:f>IF(E103="Fabio",Impostazioni!$B$4,IF(E103="Frego",Impostazioni!$B$5,IF(E103="Jessica",Impostazioni!$B$6,0)))</x:f>
        <x:v>0</x:v>
      </x:c>
      <x:c r="P103" s="198" t="n">
        <x:f>N103*O103</x:f>
        <x:v>0</x:v>
      </x:c>
      <x:c r="Q103" s="197"/>
      <x:c r="R103" s="197"/>
    </x:row>
    <x:row r="104">
      <x:c r="A104" s="197"/>
      <x:c r="B104" s="197"/>
      <x:c r="C104" s="197"/>
      <x:c r="D104" s="197"/>
      <x:c r="E104" s="197"/>
      <x:c r="F104" s="197"/>
      <x:c r="G104" s="197"/>
      <x:c r="H104" s="197"/>
      <x:c r="I104" s="197"/>
      <x:c r="J104" s="197"/>
      <x:c r="K104" s="197"/>
      <x:c r="L104" s="197"/>
      <x:c r="M104" s="197"/>
      <x:c r="N104" s="198" t="n">
        <x:f>IF(M104&lt;&gt;"",M104,IF(AND(K104&lt;&gt;"",L104&lt;&gt;""),K104*L104/60,0))</x:f>
        <x:v>0</x:v>
      </x:c>
      <x:c r="O104" s="198" t="n">
        <x:f>IF(E104="Fabio",Impostazioni!$B$4,IF(E104="Frego",Impostazioni!$B$5,IF(E104="Jessica",Impostazioni!$B$6,0)))</x:f>
        <x:v>0</x:v>
      </x:c>
      <x:c r="P104" s="198" t="n">
        <x:f>N104*O104</x:f>
        <x:v>0</x:v>
      </x:c>
      <x:c r="Q104" s="197"/>
      <x:c r="R104" s="197"/>
    </x:row>
    <x:row r="105">
      <x:c r="A105" s="197"/>
      <x:c r="B105" s="197"/>
      <x:c r="C105" s="197"/>
      <x:c r="D105" s="197"/>
      <x:c r="E105" s="197"/>
      <x:c r="F105" s="197"/>
      <x:c r="G105" s="197"/>
      <x:c r="H105" s="197"/>
      <x:c r="I105" s="197"/>
      <x:c r="J105" s="197"/>
      <x:c r="K105" s="197"/>
      <x:c r="L105" s="197"/>
      <x:c r="M105" s="197"/>
      <x:c r="N105" s="198" t="n">
        <x:f>IF(M105&lt;&gt;"",M105,IF(AND(K105&lt;&gt;"",L105&lt;&gt;""),K105*L105/60,0))</x:f>
        <x:v>0</x:v>
      </x:c>
      <x:c r="O105" s="198" t="n">
        <x:f>IF(E105="Fabio",Impostazioni!$B$4,IF(E105="Frego",Impostazioni!$B$5,IF(E105="Jessica",Impostazioni!$B$6,0)))</x:f>
        <x:v>0</x:v>
      </x:c>
      <x:c r="P105" s="198" t="n">
        <x:f>N105*O105</x:f>
        <x:v>0</x:v>
      </x:c>
      <x:c r="Q105" s="197"/>
      <x:c r="R105" s="197"/>
    </x:row>
    <x:row r="106">
      <x:c r="A106" s="197"/>
      <x:c r="B106" s="197"/>
      <x:c r="C106" s="197"/>
      <x:c r="D106" s="197"/>
      <x:c r="E106" s="197"/>
      <x:c r="F106" s="197"/>
      <x:c r="G106" s="197"/>
      <x:c r="H106" s="197"/>
      <x:c r="I106" s="197"/>
      <x:c r="J106" s="197"/>
      <x:c r="K106" s="197"/>
      <x:c r="L106" s="197"/>
      <x:c r="M106" s="197"/>
      <x:c r="N106" s="198" t="n">
        <x:f>IF(M106&lt;&gt;"",M106,IF(AND(K106&lt;&gt;"",L106&lt;&gt;""),K106*L106/60,0))</x:f>
        <x:v>0</x:v>
      </x:c>
      <x:c r="O106" s="198" t="n">
        <x:f>IF(E106="Fabio",Impostazioni!$B$4,IF(E106="Frego",Impostazioni!$B$5,IF(E106="Jessica",Impostazioni!$B$6,0)))</x:f>
        <x:v>0</x:v>
      </x:c>
      <x:c r="P106" s="198" t="n">
        <x:f>N106*O106</x:f>
        <x:v>0</x:v>
      </x:c>
      <x:c r="Q106" s="197"/>
      <x:c r="R106" s="197"/>
    </x:row>
    <x:row r="107">
      <x:c r="A107" s="197"/>
      <x:c r="B107" s="197"/>
      <x:c r="C107" s="197"/>
      <x:c r="D107" s="197"/>
      <x:c r="E107" s="197"/>
      <x:c r="F107" s="197"/>
      <x:c r="G107" s="197"/>
      <x:c r="H107" s="197"/>
      <x:c r="I107" s="197"/>
      <x:c r="J107" s="197"/>
      <x:c r="K107" s="197"/>
      <x:c r="L107" s="197"/>
      <x:c r="M107" s="197"/>
      <x:c r="N107" s="198" t="n">
        <x:f>IF(M107&lt;&gt;"",M107,IF(AND(K107&lt;&gt;"",L107&lt;&gt;""),K107*L107/60,0))</x:f>
        <x:v>0</x:v>
      </x:c>
      <x:c r="O107" s="198" t="n">
        <x:f>IF(E107="Fabio",Impostazioni!$B$4,IF(E107="Frego",Impostazioni!$B$5,IF(E107="Jessica",Impostazioni!$B$6,0)))</x:f>
        <x:v>0</x:v>
      </x:c>
      <x:c r="P107" s="198" t="n">
        <x:f>N107*O107</x:f>
        <x:v>0</x:v>
      </x:c>
      <x:c r="Q107" s="197"/>
      <x:c r="R107" s="197"/>
    </x:row>
    <x:row r="108">
      <x:c r="A108" s="197"/>
      <x:c r="B108" s="197"/>
      <x:c r="C108" s="197"/>
      <x:c r="D108" s="197"/>
      <x:c r="E108" s="197"/>
      <x:c r="F108" s="197"/>
      <x:c r="G108" s="197"/>
      <x:c r="H108" s="197"/>
      <x:c r="I108" s="197"/>
      <x:c r="J108" s="197"/>
      <x:c r="K108" s="197"/>
      <x:c r="L108" s="197"/>
      <x:c r="M108" s="197"/>
      <x:c r="N108" s="198" t="n">
        <x:f>IF(M108&lt;&gt;"",M108,IF(AND(K108&lt;&gt;"",L108&lt;&gt;""),K108*L108/60,0))</x:f>
        <x:v>0</x:v>
      </x:c>
      <x:c r="O108" s="198" t="n">
        <x:f>IF(E108="Fabio",Impostazioni!$B$4,IF(E108="Frego",Impostazioni!$B$5,IF(E108="Jessica",Impostazioni!$B$6,0)))</x:f>
        <x:v>0</x:v>
      </x:c>
      <x:c r="P108" s="198" t="n">
        <x:f>N108*O108</x:f>
        <x:v>0</x:v>
      </x:c>
      <x:c r="Q108" s="197"/>
      <x:c r="R108" s="197"/>
    </x:row>
    <x:row r="109">
      <x:c r="A109" s="197"/>
      <x:c r="B109" s="197"/>
      <x:c r="C109" s="197"/>
      <x:c r="D109" s="197"/>
      <x:c r="E109" s="197"/>
      <x:c r="F109" s="197"/>
      <x:c r="G109" s="197"/>
      <x:c r="H109" s="197"/>
      <x:c r="I109" s="197"/>
      <x:c r="J109" s="197"/>
      <x:c r="K109" s="197"/>
      <x:c r="L109" s="197"/>
      <x:c r="M109" s="197"/>
      <x:c r="N109" s="198" t="n">
        <x:f>IF(M109&lt;&gt;"",M109,IF(AND(K109&lt;&gt;"",L109&lt;&gt;""),K109*L109/60,0))</x:f>
        <x:v>0</x:v>
      </x:c>
      <x:c r="O109" s="198" t="n">
        <x:f>IF(E109="Fabio",Impostazioni!$B$4,IF(E109="Frego",Impostazioni!$B$5,IF(E109="Jessica",Impostazioni!$B$6,0)))</x:f>
        <x:v>0</x:v>
      </x:c>
      <x:c r="P109" s="198" t="n">
        <x:f>N109*O109</x:f>
        <x:v>0</x:v>
      </x:c>
      <x:c r="Q109" s="197"/>
      <x:c r="R109" s="197"/>
    </x:row>
    <x:row r="110">
      <x:c r="A110" s="197"/>
      <x:c r="B110" s="197"/>
      <x:c r="C110" s="197"/>
      <x:c r="D110" s="197"/>
      <x:c r="E110" s="197"/>
      <x:c r="F110" s="197"/>
      <x:c r="G110" s="197"/>
      <x:c r="H110" s="197"/>
      <x:c r="I110" s="197"/>
      <x:c r="J110" s="197"/>
      <x:c r="K110" s="197"/>
      <x:c r="L110" s="197"/>
      <x:c r="M110" s="197"/>
      <x:c r="N110" s="198" t="n">
        <x:f>IF(M110&lt;&gt;"",M110,IF(AND(K110&lt;&gt;"",L110&lt;&gt;""),K110*L110/60,0))</x:f>
        <x:v>0</x:v>
      </x:c>
      <x:c r="O110" s="198" t="n">
        <x:f>IF(E110="Fabio",Impostazioni!$B$4,IF(E110="Frego",Impostazioni!$B$5,IF(E110="Jessica",Impostazioni!$B$6,0)))</x:f>
        <x:v>0</x:v>
      </x:c>
      <x:c r="P110" s="198" t="n">
        <x:f>N110*O110</x:f>
        <x:v>0</x:v>
      </x:c>
      <x:c r="Q110" s="197"/>
      <x:c r="R110" s="197"/>
    </x:row>
    <x:row r="111">
      <x:c r="A111" s="197"/>
      <x:c r="B111" s="197"/>
      <x:c r="C111" s="197"/>
      <x:c r="D111" s="197"/>
      <x:c r="E111" s="197"/>
      <x:c r="F111" s="197"/>
      <x:c r="G111" s="197"/>
      <x:c r="H111" s="197"/>
      <x:c r="I111" s="197"/>
      <x:c r="J111" s="197"/>
      <x:c r="K111" s="197"/>
      <x:c r="L111" s="197"/>
      <x:c r="M111" s="197"/>
      <x:c r="N111" s="198" t="n">
        <x:f>IF(M111&lt;&gt;"",M111,IF(AND(K111&lt;&gt;"",L111&lt;&gt;""),K111*L111/60,0))</x:f>
        <x:v>0</x:v>
      </x:c>
      <x:c r="O111" s="198" t="n">
        <x:f>IF(E111="Fabio",Impostazioni!$B$4,IF(E111="Frego",Impostazioni!$B$5,IF(E111="Jessica",Impostazioni!$B$6,0)))</x:f>
        <x:v>0</x:v>
      </x:c>
      <x:c r="P111" s="198" t="n">
        <x:f>N111*O111</x:f>
        <x:v>0</x:v>
      </x:c>
      <x:c r="Q111" s="197"/>
      <x:c r="R111" s="197"/>
    </x:row>
    <x:row r="112">
      <x:c r="A112" s="197"/>
      <x:c r="B112" s="197"/>
      <x:c r="C112" s="197"/>
      <x:c r="D112" s="197"/>
      <x:c r="E112" s="197"/>
      <x:c r="F112" s="197"/>
      <x:c r="G112" s="197"/>
      <x:c r="H112" s="197"/>
      <x:c r="I112" s="197"/>
      <x:c r="J112" s="197"/>
      <x:c r="K112" s="197"/>
      <x:c r="L112" s="197"/>
      <x:c r="M112" s="197"/>
      <x:c r="N112" s="198" t="n">
        <x:f>IF(M112&lt;&gt;"",M112,IF(AND(K112&lt;&gt;"",L112&lt;&gt;""),K112*L112/60,0))</x:f>
        <x:v>0</x:v>
      </x:c>
      <x:c r="O112" s="198" t="n">
        <x:f>IF(E112="Fabio",Impostazioni!$B$4,IF(E112="Frego",Impostazioni!$B$5,IF(E112="Jessica",Impostazioni!$B$6,0)))</x:f>
        <x:v>0</x:v>
      </x:c>
      <x:c r="P112" s="198" t="n">
        <x:f>N112*O112</x:f>
        <x:v>0</x:v>
      </x:c>
      <x:c r="Q112" s="197"/>
      <x:c r="R112" s="197"/>
    </x:row>
    <x:row r="113">
      <x:c r="A113" s="197"/>
      <x:c r="B113" s="197"/>
      <x:c r="C113" s="197"/>
      <x:c r="D113" s="197"/>
      <x:c r="E113" s="197"/>
      <x:c r="F113" s="197"/>
      <x:c r="G113" s="197"/>
      <x:c r="H113" s="197"/>
      <x:c r="I113" s="197"/>
      <x:c r="J113" s="197"/>
      <x:c r="K113" s="197"/>
      <x:c r="L113" s="197"/>
      <x:c r="M113" s="197"/>
      <x:c r="N113" s="198" t="n">
        <x:f>IF(M113&lt;&gt;"",M113,IF(AND(K113&lt;&gt;"",L113&lt;&gt;""),K113*L113/60,0))</x:f>
        <x:v>0</x:v>
      </x:c>
      <x:c r="O113" s="198" t="n">
        <x:f>IF(E113="Fabio",Impostazioni!$B$4,IF(E113="Frego",Impostazioni!$B$5,IF(E113="Jessica",Impostazioni!$B$6,0)))</x:f>
        <x:v>0</x:v>
      </x:c>
      <x:c r="P113" s="198" t="n">
        <x:f>N113*O113</x:f>
        <x:v>0</x:v>
      </x:c>
      <x:c r="Q113" s="197"/>
      <x:c r="R113" s="197"/>
    </x:row>
    <x:row r="114">
      <x:c r="A114" s="197"/>
      <x:c r="B114" s="197"/>
      <x:c r="C114" s="197"/>
      <x:c r="D114" s="197"/>
      <x:c r="E114" s="197"/>
      <x:c r="F114" s="197"/>
      <x:c r="G114" s="197"/>
      <x:c r="H114" s="197"/>
      <x:c r="I114" s="197"/>
      <x:c r="J114" s="197"/>
      <x:c r="K114" s="197"/>
      <x:c r="L114" s="197"/>
      <x:c r="M114" s="197"/>
      <x:c r="N114" s="198" t="n">
        <x:f>IF(M114&lt;&gt;"",M114,IF(AND(K114&lt;&gt;"",L114&lt;&gt;""),K114*L114/60,0))</x:f>
        <x:v>0</x:v>
      </x:c>
      <x:c r="O114" s="198" t="n">
        <x:f>IF(E114="Fabio",Impostazioni!$B$4,IF(E114="Frego",Impostazioni!$B$5,IF(E114="Jessica",Impostazioni!$B$6,0)))</x:f>
        <x:v>0</x:v>
      </x:c>
      <x:c r="P114" s="198" t="n">
        <x:f>N114*O114</x:f>
        <x:v>0</x:v>
      </x:c>
      <x:c r="Q114" s="197"/>
      <x:c r="R114" s="197"/>
    </x:row>
    <x:row r="115">
      <x:c r="A115" s="197"/>
      <x:c r="B115" s="197"/>
      <x:c r="C115" s="197"/>
      <x:c r="D115" s="197"/>
      <x:c r="E115" s="197"/>
      <x:c r="F115" s="197"/>
      <x:c r="G115" s="197"/>
      <x:c r="H115" s="197"/>
      <x:c r="I115" s="197"/>
      <x:c r="J115" s="197"/>
      <x:c r="K115" s="197"/>
      <x:c r="L115" s="197"/>
      <x:c r="M115" s="197"/>
      <x:c r="N115" s="198" t="n">
        <x:f>IF(M115&lt;&gt;"",M115,IF(AND(K115&lt;&gt;"",L115&lt;&gt;""),K115*L115/60,0))</x:f>
        <x:v>0</x:v>
      </x:c>
      <x:c r="O115" s="198" t="n">
        <x:f>IF(E115="Fabio",Impostazioni!$B$4,IF(E115="Frego",Impostazioni!$B$5,IF(E115="Jessica",Impostazioni!$B$6,0)))</x:f>
        <x:v>0</x:v>
      </x:c>
      <x:c r="P115" s="198" t="n">
        <x:f>N115*O115</x:f>
        <x:v>0</x:v>
      </x:c>
      <x:c r="Q115" s="197"/>
      <x:c r="R115" s="197"/>
    </x:row>
    <x:row r="116">
      <x:c r="A116" s="197"/>
      <x:c r="B116" s="197"/>
      <x:c r="C116" s="197"/>
      <x:c r="D116" s="197"/>
      <x:c r="E116" s="197"/>
      <x:c r="F116" s="197"/>
      <x:c r="G116" s="197"/>
      <x:c r="H116" s="197"/>
      <x:c r="I116" s="197"/>
      <x:c r="J116" s="197"/>
      <x:c r="K116" s="197"/>
      <x:c r="L116" s="197"/>
      <x:c r="M116" s="197"/>
      <x:c r="N116" s="198" t="n">
        <x:f>IF(M116&lt;&gt;"",M116,IF(AND(K116&lt;&gt;"",L116&lt;&gt;""),K116*L116/60,0))</x:f>
        <x:v>0</x:v>
      </x:c>
      <x:c r="O116" s="198" t="n">
        <x:f>IF(E116="Fabio",Impostazioni!$B$4,IF(E116="Frego",Impostazioni!$B$5,IF(E116="Jessica",Impostazioni!$B$6,0)))</x:f>
        <x:v>0</x:v>
      </x:c>
      <x:c r="P116" s="198" t="n">
        <x:f>N116*O116</x:f>
        <x:v>0</x:v>
      </x:c>
      <x:c r="Q116" s="197"/>
      <x:c r="R116" s="197"/>
    </x:row>
    <x:row r="117">
      <x:c r="A117" s="197"/>
      <x:c r="B117" s="197"/>
      <x:c r="C117" s="197"/>
      <x:c r="D117" s="197"/>
      <x:c r="E117" s="197"/>
      <x:c r="F117" s="197"/>
      <x:c r="G117" s="197"/>
      <x:c r="H117" s="197"/>
      <x:c r="I117" s="197"/>
      <x:c r="J117" s="197"/>
      <x:c r="K117" s="197"/>
      <x:c r="L117" s="197"/>
      <x:c r="M117" s="197"/>
      <x:c r="N117" s="198" t="n">
        <x:f>IF(M117&lt;&gt;"",M117,IF(AND(K117&lt;&gt;"",L117&lt;&gt;""),K117*L117/60,0))</x:f>
        <x:v>0</x:v>
      </x:c>
      <x:c r="O117" s="198" t="n">
        <x:f>IF(E117="Fabio",Impostazioni!$B$4,IF(E117="Frego",Impostazioni!$B$5,IF(E117="Jessica",Impostazioni!$B$6,0)))</x:f>
        <x:v>0</x:v>
      </x:c>
      <x:c r="P117" s="198" t="n">
        <x:f>N117*O117</x:f>
        <x:v>0</x:v>
      </x:c>
      <x:c r="Q117" s="197"/>
      <x:c r="R117" s="197"/>
    </x:row>
    <x:row r="118">
      <x:c r="A118" s="197"/>
      <x:c r="B118" s="197"/>
      <x:c r="C118" s="197"/>
      <x:c r="D118" s="197"/>
      <x:c r="E118" s="197"/>
      <x:c r="F118" s="197"/>
      <x:c r="G118" s="197"/>
      <x:c r="H118" s="197"/>
      <x:c r="I118" s="197"/>
      <x:c r="J118" s="197"/>
      <x:c r="K118" s="197"/>
      <x:c r="L118" s="197"/>
      <x:c r="M118" s="197"/>
      <x:c r="N118" s="198" t="n">
        <x:f>IF(M118&lt;&gt;"",M118,IF(AND(K118&lt;&gt;"",L118&lt;&gt;""),K118*L118/60,0))</x:f>
        <x:v>0</x:v>
      </x:c>
      <x:c r="O118" s="198" t="n">
        <x:f>IF(E118="Fabio",Impostazioni!$B$4,IF(E118="Frego",Impostazioni!$B$5,IF(E118="Jessica",Impostazioni!$B$6,0)))</x:f>
        <x:v>0</x:v>
      </x:c>
      <x:c r="P118" s="198" t="n">
        <x:f>N118*O118</x:f>
        <x:v>0</x:v>
      </x:c>
      <x:c r="Q118" s="197"/>
      <x:c r="R118" s="197"/>
    </x:row>
    <x:row r="119">
      <x:c r="A119" s="197"/>
      <x:c r="B119" s="197"/>
      <x:c r="C119" s="197"/>
      <x:c r="D119" s="197"/>
      <x:c r="E119" s="197"/>
      <x:c r="F119" s="197"/>
      <x:c r="G119" s="197"/>
      <x:c r="H119" s="197"/>
      <x:c r="I119" s="197"/>
      <x:c r="J119" s="197"/>
      <x:c r="K119" s="197"/>
      <x:c r="L119" s="197"/>
      <x:c r="M119" s="197"/>
      <x:c r="N119" s="198" t="n">
        <x:f>IF(M119&lt;&gt;"",M119,IF(AND(K119&lt;&gt;"",L119&lt;&gt;""),K119*L119/60,0))</x:f>
        <x:v>0</x:v>
      </x:c>
      <x:c r="O119" s="198" t="n">
        <x:f>IF(E119="Fabio",Impostazioni!$B$4,IF(E119="Frego",Impostazioni!$B$5,IF(E119="Jessica",Impostazioni!$B$6,0)))</x:f>
        <x:v>0</x:v>
      </x:c>
      <x:c r="P119" s="198" t="n">
        <x:f>N119*O119</x:f>
        <x:v>0</x:v>
      </x:c>
      <x:c r="Q119" s="197"/>
      <x:c r="R119" s="197"/>
    </x:row>
    <x:row r="120">
      <x:c r="A120" s="197"/>
      <x:c r="B120" s="197"/>
      <x:c r="C120" s="197"/>
      <x:c r="D120" s="197"/>
      <x:c r="E120" s="197"/>
      <x:c r="F120" s="197"/>
      <x:c r="G120" s="197"/>
      <x:c r="H120" s="197"/>
      <x:c r="I120" s="197"/>
      <x:c r="J120" s="197"/>
      <x:c r="K120" s="197"/>
      <x:c r="L120" s="197"/>
      <x:c r="M120" s="197"/>
      <x:c r="N120" s="198" t="n">
        <x:f>IF(M120&lt;&gt;"",M120,IF(AND(K120&lt;&gt;"",L120&lt;&gt;""),K120*L120/60,0))</x:f>
        <x:v>0</x:v>
      </x:c>
      <x:c r="O120" s="198" t="n">
        <x:f>IF(E120="Fabio",Impostazioni!$B$4,IF(E120="Frego",Impostazioni!$B$5,IF(E120="Jessica",Impostazioni!$B$6,0)))</x:f>
        <x:v>0</x:v>
      </x:c>
      <x:c r="P120" s="198" t="n">
        <x:f>N120*O120</x:f>
        <x:v>0</x:v>
      </x:c>
      <x:c r="Q120" s="197"/>
      <x:c r="R120" s="197"/>
    </x:row>
    <x:row r="121">
      <x:c r="A121" s="197"/>
      <x:c r="B121" s="197"/>
      <x:c r="C121" s="197"/>
      <x:c r="D121" s="197"/>
      <x:c r="E121" s="197"/>
      <x:c r="F121" s="197"/>
      <x:c r="G121" s="197"/>
      <x:c r="H121" s="197"/>
      <x:c r="I121" s="197"/>
      <x:c r="J121" s="197"/>
      <x:c r="K121" s="197"/>
      <x:c r="L121" s="197"/>
      <x:c r="M121" s="197"/>
      <x:c r="N121" s="198" t="n">
        <x:f>IF(M121&lt;&gt;"",M121,IF(AND(K121&lt;&gt;"",L121&lt;&gt;""),K121*L121/60,0))</x:f>
        <x:v>0</x:v>
      </x:c>
      <x:c r="O121" s="198" t="n">
        <x:f>IF(E121="Fabio",Impostazioni!$B$4,IF(E121="Frego",Impostazioni!$B$5,IF(E121="Jessica",Impostazioni!$B$6,0)))</x:f>
        <x:v>0</x:v>
      </x:c>
      <x:c r="P121" s="198" t="n">
        <x:f>N121*O121</x:f>
        <x:v>0</x:v>
      </x:c>
      <x:c r="Q121" s="197"/>
      <x:c r="R121" s="197"/>
    </x:row>
    <x:row r="122">
      <x:c r="A122" s="197"/>
      <x:c r="B122" s="197"/>
      <x:c r="C122" s="197"/>
      <x:c r="D122" s="197"/>
      <x:c r="E122" s="197"/>
      <x:c r="F122" s="197"/>
      <x:c r="G122" s="197"/>
      <x:c r="H122" s="197"/>
      <x:c r="I122" s="197"/>
      <x:c r="J122" s="197"/>
      <x:c r="K122" s="197"/>
      <x:c r="L122" s="197"/>
      <x:c r="M122" s="197"/>
      <x:c r="N122" s="198" t="n">
        <x:f>IF(M122&lt;&gt;"",M122,IF(AND(K122&lt;&gt;"",L122&lt;&gt;""),K122*L122/60,0))</x:f>
        <x:v>0</x:v>
      </x:c>
      <x:c r="O122" s="198" t="n">
        <x:f>IF(E122="Fabio",Impostazioni!$B$4,IF(E122="Frego",Impostazioni!$B$5,IF(E122="Jessica",Impostazioni!$B$6,0)))</x:f>
        <x:v>0</x:v>
      </x:c>
      <x:c r="P122" s="198" t="n">
        <x:f>N122*O122</x:f>
        <x:v>0</x:v>
      </x:c>
      <x:c r="Q122" s="197"/>
      <x:c r="R122" s="197"/>
    </x:row>
    <x:row r="123">
      <x:c r="A123" s="197"/>
      <x:c r="B123" s="197"/>
      <x:c r="C123" s="197"/>
      <x:c r="D123" s="197"/>
      <x:c r="E123" s="197"/>
      <x:c r="F123" s="197"/>
      <x:c r="G123" s="197"/>
      <x:c r="H123" s="197"/>
      <x:c r="I123" s="197"/>
      <x:c r="J123" s="197"/>
      <x:c r="K123" s="197"/>
      <x:c r="L123" s="197"/>
      <x:c r="M123" s="197"/>
      <x:c r="N123" s="198" t="n">
        <x:f>IF(M123&lt;&gt;"",M123,IF(AND(K123&lt;&gt;"",L123&lt;&gt;""),K123*L123/60,0))</x:f>
        <x:v>0</x:v>
      </x:c>
      <x:c r="O123" s="198" t="n">
        <x:f>IF(E123="Fabio",Impostazioni!$B$4,IF(E123="Frego",Impostazioni!$B$5,IF(E123="Jessica",Impostazioni!$B$6,0)))</x:f>
        <x:v>0</x:v>
      </x:c>
      <x:c r="P123" s="198" t="n">
        <x:f>N123*O123</x:f>
        <x:v>0</x:v>
      </x:c>
      <x:c r="Q123" s="197"/>
      <x:c r="R123" s="197"/>
    </x:row>
    <x:row r="124">
      <x:c r="A124" s="197"/>
      <x:c r="B124" s="197"/>
      <x:c r="C124" s="197"/>
      <x:c r="D124" s="197"/>
      <x:c r="E124" s="197"/>
      <x:c r="F124" s="197"/>
      <x:c r="G124" s="197"/>
      <x:c r="H124" s="197"/>
      <x:c r="I124" s="197"/>
      <x:c r="J124" s="197"/>
      <x:c r="K124" s="197"/>
      <x:c r="L124" s="197"/>
      <x:c r="M124" s="197"/>
      <x:c r="N124" s="198" t="n">
        <x:f>IF(M124&lt;&gt;"",M124,IF(AND(K124&lt;&gt;"",L124&lt;&gt;""),K124*L124/60,0))</x:f>
        <x:v>0</x:v>
      </x:c>
      <x:c r="O124" s="198" t="n">
        <x:f>IF(E124="Fabio",Impostazioni!$B$4,IF(E124="Frego",Impostazioni!$B$5,IF(E124="Jessica",Impostazioni!$B$6,0)))</x:f>
        <x:v>0</x:v>
      </x:c>
      <x:c r="P124" s="198" t="n">
        <x:f>N124*O124</x:f>
        <x:v>0</x:v>
      </x:c>
      <x:c r="Q124" s="197"/>
      <x:c r="R124" s="197"/>
    </x:row>
    <x:row r="125">
      <x:c r="A125" s="197"/>
      <x:c r="B125" s="197"/>
      <x:c r="C125" s="197"/>
      <x:c r="D125" s="197"/>
      <x:c r="E125" s="197"/>
      <x:c r="F125" s="197"/>
      <x:c r="G125" s="197"/>
      <x:c r="H125" s="197"/>
      <x:c r="I125" s="197"/>
      <x:c r="J125" s="197"/>
      <x:c r="K125" s="197"/>
      <x:c r="L125" s="197"/>
      <x:c r="M125" s="197"/>
      <x:c r="N125" s="198" t="n">
        <x:f>IF(M125&lt;&gt;"",M125,IF(AND(K125&lt;&gt;"",L125&lt;&gt;""),K125*L125/60,0))</x:f>
        <x:v>0</x:v>
      </x:c>
      <x:c r="O125" s="198" t="n">
        <x:f>IF(E125="Fabio",Impostazioni!$B$4,IF(E125="Frego",Impostazioni!$B$5,IF(E125="Jessica",Impostazioni!$B$6,0)))</x:f>
        <x:v>0</x:v>
      </x:c>
      <x:c r="P125" s="198" t="n">
        <x:f>N125*O125</x:f>
        <x:v>0</x:v>
      </x:c>
      <x:c r="Q125" s="197"/>
      <x:c r="R125" s="197"/>
    </x:row>
    <x:row r="126">
      <x:c r="A126" s="197"/>
      <x:c r="B126" s="197"/>
      <x:c r="C126" s="197"/>
      <x:c r="D126" s="197"/>
      <x:c r="E126" s="197"/>
      <x:c r="F126" s="197"/>
      <x:c r="G126" s="197"/>
      <x:c r="H126" s="197"/>
      <x:c r="I126" s="197"/>
      <x:c r="J126" s="197"/>
      <x:c r="K126" s="197"/>
      <x:c r="L126" s="197"/>
      <x:c r="M126" s="197"/>
      <x:c r="N126" s="198" t="n">
        <x:f>IF(M126&lt;&gt;"",M126,IF(AND(K126&lt;&gt;"",L126&lt;&gt;""),K126*L126/60,0))</x:f>
        <x:v>0</x:v>
      </x:c>
      <x:c r="O126" s="198" t="n">
        <x:f>IF(E126="Fabio",Impostazioni!$B$4,IF(E126="Frego",Impostazioni!$B$5,IF(E126="Jessica",Impostazioni!$B$6,0)))</x:f>
        <x:v>0</x:v>
      </x:c>
      <x:c r="P126" s="198" t="n">
        <x:f>N126*O126</x:f>
        <x:v>0</x:v>
      </x:c>
      <x:c r="Q126" s="197"/>
      <x:c r="R126" s="197"/>
    </x:row>
    <x:row r="127">
      <x:c r="A127" s="197"/>
      <x:c r="B127" s="197"/>
      <x:c r="C127" s="197"/>
      <x:c r="D127" s="197"/>
      <x:c r="E127" s="197"/>
      <x:c r="F127" s="197"/>
      <x:c r="G127" s="197"/>
      <x:c r="H127" s="197"/>
      <x:c r="I127" s="197"/>
      <x:c r="J127" s="197"/>
      <x:c r="K127" s="197"/>
      <x:c r="L127" s="197"/>
      <x:c r="M127" s="197"/>
      <x:c r="N127" s="198" t="n">
        <x:f>IF(M127&lt;&gt;"",M127,IF(AND(K127&lt;&gt;"",L127&lt;&gt;""),K127*L127/60,0))</x:f>
        <x:v>0</x:v>
      </x:c>
      <x:c r="O127" s="198" t="n">
        <x:f>IF(E127="Fabio",Impostazioni!$B$4,IF(E127="Frego",Impostazioni!$B$5,IF(E127="Jessica",Impostazioni!$B$6,0)))</x:f>
        <x:v>0</x:v>
      </x:c>
      <x:c r="P127" s="198" t="n">
        <x:f>N127*O127</x:f>
        <x:v>0</x:v>
      </x:c>
      <x:c r="Q127" s="197"/>
      <x:c r="R127" s="197"/>
    </x:row>
    <x:row r="128">
      <x:c r="A128" s="197"/>
      <x:c r="B128" s="197"/>
      <x:c r="C128" s="197"/>
      <x:c r="D128" s="197"/>
      <x:c r="E128" s="197"/>
      <x:c r="F128" s="197"/>
      <x:c r="G128" s="197"/>
      <x:c r="H128" s="197"/>
      <x:c r="I128" s="197"/>
      <x:c r="J128" s="197"/>
      <x:c r="K128" s="197"/>
      <x:c r="L128" s="197"/>
      <x:c r="M128" s="197"/>
      <x:c r="N128" s="198" t="n">
        <x:f>IF(M128&lt;&gt;"",M128,IF(AND(K128&lt;&gt;"",L128&lt;&gt;""),K128*L128/60,0))</x:f>
        <x:v>0</x:v>
      </x:c>
      <x:c r="O128" s="198" t="n">
        <x:f>IF(E128="Fabio",Impostazioni!$B$4,IF(E128="Frego",Impostazioni!$B$5,IF(E128="Jessica",Impostazioni!$B$6,0)))</x:f>
        <x:v>0</x:v>
      </x:c>
      <x:c r="P128" s="198" t="n">
        <x:f>N128*O128</x:f>
        <x:v>0</x:v>
      </x:c>
      <x:c r="Q128" s="197"/>
      <x:c r="R128" s="197"/>
    </x:row>
    <x:row r="129">
      <x:c r="A129" s="197"/>
      <x:c r="B129" s="197"/>
      <x:c r="C129" s="197"/>
      <x:c r="D129" s="197"/>
      <x:c r="E129" s="197"/>
      <x:c r="F129" s="197"/>
      <x:c r="G129" s="197"/>
      <x:c r="H129" s="197"/>
      <x:c r="I129" s="197"/>
      <x:c r="J129" s="197"/>
      <x:c r="K129" s="197"/>
      <x:c r="L129" s="197"/>
      <x:c r="M129" s="197"/>
      <x:c r="N129" s="198" t="n">
        <x:f>IF(M129&lt;&gt;"",M129,IF(AND(K129&lt;&gt;"",L129&lt;&gt;""),K129*L129/60,0))</x:f>
        <x:v>0</x:v>
      </x:c>
      <x:c r="O129" s="198" t="n">
        <x:f>IF(E129="Fabio",Impostazioni!$B$4,IF(E129="Frego",Impostazioni!$B$5,IF(E129="Jessica",Impostazioni!$B$6,0)))</x:f>
        <x:v>0</x:v>
      </x:c>
      <x:c r="P129" s="198" t="n">
        <x:f>N129*O129</x:f>
        <x:v>0</x:v>
      </x:c>
      <x:c r="Q129" s="197"/>
      <x:c r="R129" s="197"/>
    </x:row>
    <x:row r="130">
      <x:c r="A130" s="197"/>
      <x:c r="B130" s="197"/>
      <x:c r="C130" s="197"/>
      <x:c r="D130" s="197"/>
      <x:c r="E130" s="197"/>
      <x:c r="F130" s="197"/>
      <x:c r="G130" s="197"/>
      <x:c r="H130" s="197"/>
      <x:c r="I130" s="197"/>
      <x:c r="J130" s="197"/>
      <x:c r="K130" s="197"/>
      <x:c r="L130" s="197"/>
      <x:c r="M130" s="197"/>
      <x:c r="N130" s="198" t="n">
        <x:f>IF(M130&lt;&gt;"",M130,IF(AND(K130&lt;&gt;"",L130&lt;&gt;""),K130*L130/60,0))</x:f>
        <x:v>0</x:v>
      </x:c>
      <x:c r="O130" s="198" t="n">
        <x:f>IF(E130="Fabio",Impostazioni!$B$4,IF(E130="Frego",Impostazioni!$B$5,IF(E130="Jessica",Impostazioni!$B$6,0)))</x:f>
        <x:v>0</x:v>
      </x:c>
      <x:c r="P130" s="198" t="n">
        <x:f>N130*O130</x:f>
        <x:v>0</x:v>
      </x:c>
      <x:c r="Q130" s="197"/>
      <x:c r="R130" s="197"/>
    </x:row>
    <x:row r="131">
      <x:c r="A131" s="197"/>
      <x:c r="B131" s="197"/>
      <x:c r="C131" s="197"/>
      <x:c r="D131" s="197"/>
      <x:c r="E131" s="197"/>
      <x:c r="F131" s="197"/>
      <x:c r="G131" s="197"/>
      <x:c r="H131" s="197"/>
      <x:c r="I131" s="197"/>
      <x:c r="J131" s="197"/>
      <x:c r="K131" s="197"/>
      <x:c r="L131" s="197"/>
      <x:c r="M131" s="197"/>
      <x:c r="N131" s="198" t="n">
        <x:f>IF(M131&lt;&gt;"",M131,IF(AND(K131&lt;&gt;"",L131&lt;&gt;""),K131*L131/60,0))</x:f>
        <x:v>0</x:v>
      </x:c>
      <x:c r="O131" s="198" t="n">
        <x:f>IF(E131="Fabio",Impostazioni!$B$4,IF(E131="Frego",Impostazioni!$B$5,IF(E131="Jessica",Impostazioni!$B$6,0)))</x:f>
        <x:v>0</x:v>
      </x:c>
      <x:c r="P131" s="198" t="n">
        <x:f>N131*O131</x:f>
        <x:v>0</x:v>
      </x:c>
      <x:c r="Q131" s="197"/>
      <x:c r="R131" s="197"/>
    </x:row>
    <x:row r="132">
      <x:c r="A132" s="197"/>
      <x:c r="B132" s="197"/>
      <x:c r="C132" s="197"/>
      <x:c r="D132" s="197"/>
      <x:c r="E132" s="197"/>
      <x:c r="F132" s="197"/>
      <x:c r="G132" s="197"/>
      <x:c r="H132" s="197"/>
      <x:c r="I132" s="197"/>
      <x:c r="J132" s="197"/>
      <x:c r="K132" s="197"/>
      <x:c r="L132" s="197"/>
      <x:c r="M132" s="197"/>
      <x:c r="N132" s="198" t="n">
        <x:f>IF(M132&lt;&gt;"",M132,IF(AND(K132&lt;&gt;"",L132&lt;&gt;""),K132*L132/60,0))</x:f>
        <x:v>0</x:v>
      </x:c>
      <x:c r="O132" s="198" t="n">
        <x:f>IF(E132="Fabio",Impostazioni!$B$4,IF(E132="Frego",Impostazioni!$B$5,IF(E132="Jessica",Impostazioni!$B$6,0)))</x:f>
        <x:v>0</x:v>
      </x:c>
      <x:c r="P132" s="198" t="n">
        <x:f>N132*O132</x:f>
        <x:v>0</x:v>
      </x:c>
      <x:c r="Q132" s="197"/>
      <x:c r="R132" s="197"/>
    </x:row>
    <x:row r="133">
      <x:c r="A133" s="197"/>
      <x:c r="B133" s="197"/>
      <x:c r="C133" s="197"/>
      <x:c r="D133" s="197"/>
      <x:c r="E133" s="197"/>
      <x:c r="F133" s="197"/>
      <x:c r="G133" s="197"/>
      <x:c r="H133" s="197"/>
      <x:c r="I133" s="197"/>
      <x:c r="J133" s="197"/>
      <x:c r="K133" s="197"/>
      <x:c r="L133" s="197"/>
      <x:c r="M133" s="197"/>
      <x:c r="N133" s="198" t="n">
        <x:f>IF(M133&lt;&gt;"",M133,IF(AND(K133&lt;&gt;"",L133&lt;&gt;""),K133*L133/60,0))</x:f>
        <x:v>0</x:v>
      </x:c>
      <x:c r="O133" s="198" t="n">
        <x:f>IF(E133="Fabio",Impostazioni!$B$4,IF(E133="Frego",Impostazioni!$B$5,IF(E133="Jessica",Impostazioni!$B$6,0)))</x:f>
        <x:v>0</x:v>
      </x:c>
      <x:c r="P133" s="198" t="n">
        <x:f>N133*O133</x:f>
        <x:v>0</x:v>
      </x:c>
      <x:c r="Q133" s="197"/>
      <x:c r="R133" s="197"/>
    </x:row>
    <x:row r="134">
      <x:c r="A134" s="197"/>
      <x:c r="B134" s="197"/>
      <x:c r="C134" s="197"/>
      <x:c r="D134" s="197"/>
      <x:c r="E134" s="197"/>
      <x:c r="F134" s="197"/>
      <x:c r="G134" s="197"/>
      <x:c r="H134" s="197"/>
      <x:c r="I134" s="197"/>
      <x:c r="J134" s="197"/>
      <x:c r="K134" s="197"/>
      <x:c r="L134" s="197"/>
      <x:c r="M134" s="197"/>
      <x:c r="N134" s="198" t="n">
        <x:f>IF(M134&lt;&gt;"",M134,IF(AND(K134&lt;&gt;"",L134&lt;&gt;""),K134*L134/60,0))</x:f>
        <x:v>0</x:v>
      </x:c>
      <x:c r="O134" s="198" t="n">
        <x:f>IF(E134="Fabio",Impostazioni!$B$4,IF(E134="Frego",Impostazioni!$B$5,IF(E134="Jessica",Impostazioni!$B$6,0)))</x:f>
        <x:v>0</x:v>
      </x:c>
      <x:c r="P134" s="198" t="n">
        <x:f>N134*O134</x:f>
        <x:v>0</x:v>
      </x:c>
      <x:c r="Q134" s="197"/>
      <x:c r="R134" s="197"/>
    </x:row>
    <x:row r="135">
      <x:c r="A135" s="197"/>
      <x:c r="B135" s="197"/>
      <x:c r="C135" s="197"/>
      <x:c r="D135" s="197"/>
      <x:c r="E135" s="197"/>
      <x:c r="F135" s="197"/>
      <x:c r="G135" s="197"/>
      <x:c r="H135" s="197"/>
      <x:c r="I135" s="197"/>
      <x:c r="J135" s="197"/>
      <x:c r="K135" s="197"/>
      <x:c r="L135" s="197"/>
      <x:c r="M135" s="197"/>
      <x:c r="N135" s="198" t="n">
        <x:f>IF(M135&lt;&gt;"",M135,IF(AND(K135&lt;&gt;"",L135&lt;&gt;""),K135*L135/60,0))</x:f>
        <x:v>0</x:v>
      </x:c>
      <x:c r="O135" s="198" t="n">
        <x:f>IF(E135="Fabio",Impostazioni!$B$4,IF(E135="Frego",Impostazioni!$B$5,IF(E135="Jessica",Impostazioni!$B$6,0)))</x:f>
        <x:v>0</x:v>
      </x:c>
      <x:c r="P135" s="198" t="n">
        <x:f>N135*O135</x:f>
        <x:v>0</x:v>
      </x:c>
      <x:c r="Q135" s="197"/>
      <x:c r="R135" s="197"/>
    </x:row>
    <x:row r="136">
      <x:c r="A136" s="197"/>
      <x:c r="B136" s="197"/>
      <x:c r="C136" s="197"/>
      <x:c r="D136" s="197"/>
      <x:c r="E136" s="197"/>
      <x:c r="F136" s="197"/>
      <x:c r="G136" s="197"/>
      <x:c r="H136" s="197"/>
      <x:c r="I136" s="197"/>
      <x:c r="J136" s="197"/>
      <x:c r="K136" s="197"/>
      <x:c r="L136" s="197"/>
      <x:c r="M136" s="197"/>
      <x:c r="N136" s="198" t="n">
        <x:f>IF(M136&lt;&gt;"",M136,IF(AND(K136&lt;&gt;"",L136&lt;&gt;""),K136*L136/60,0))</x:f>
        <x:v>0</x:v>
      </x:c>
      <x:c r="O136" s="198" t="n">
        <x:f>IF(E136="Fabio",Impostazioni!$B$4,IF(E136="Frego",Impostazioni!$B$5,IF(E136="Jessica",Impostazioni!$B$6,0)))</x:f>
        <x:v>0</x:v>
      </x:c>
      <x:c r="P136" s="198" t="n">
        <x:f>N136*O136</x:f>
        <x:v>0</x:v>
      </x:c>
      <x:c r="Q136" s="197"/>
      <x:c r="R136" s="197"/>
    </x:row>
    <x:row r="137">
      <x:c r="A137" s="197"/>
      <x:c r="B137" s="197"/>
      <x:c r="C137" s="197"/>
      <x:c r="D137" s="197"/>
      <x:c r="E137" s="197"/>
      <x:c r="F137" s="197"/>
      <x:c r="G137" s="197"/>
      <x:c r="H137" s="197"/>
      <x:c r="I137" s="197"/>
      <x:c r="J137" s="197"/>
      <x:c r="K137" s="197"/>
      <x:c r="L137" s="197"/>
      <x:c r="M137" s="197"/>
      <x:c r="N137" s="198" t="n">
        <x:f>IF(M137&lt;&gt;"",M137,IF(AND(K137&lt;&gt;"",L137&lt;&gt;""),K137*L137/60,0))</x:f>
        <x:v>0</x:v>
      </x:c>
      <x:c r="O137" s="198" t="n">
        <x:f>IF(E137="Fabio",Impostazioni!$B$4,IF(E137="Frego",Impostazioni!$B$5,IF(E137="Jessica",Impostazioni!$B$6,0)))</x:f>
        <x:v>0</x:v>
      </x:c>
      <x:c r="P137" s="198" t="n">
        <x:f>N137*O137</x:f>
        <x:v>0</x:v>
      </x:c>
      <x:c r="Q137" s="197"/>
      <x:c r="R137" s="197"/>
    </x:row>
    <x:row r="138">
      <x:c r="A138" s="197"/>
      <x:c r="B138" s="197"/>
      <x:c r="C138" s="197"/>
      <x:c r="D138" s="197"/>
      <x:c r="E138" s="197"/>
      <x:c r="F138" s="197"/>
      <x:c r="G138" s="197"/>
      <x:c r="H138" s="197"/>
      <x:c r="I138" s="197"/>
      <x:c r="J138" s="197"/>
      <x:c r="K138" s="197"/>
      <x:c r="L138" s="197"/>
      <x:c r="M138" s="197"/>
      <x:c r="N138" s="198" t="n">
        <x:f>IF(M138&lt;&gt;"",M138,IF(AND(K138&lt;&gt;"",L138&lt;&gt;""),K138*L138/60,0))</x:f>
        <x:v>0</x:v>
      </x:c>
      <x:c r="O138" s="198" t="n">
        <x:f>IF(E138="Fabio",Impostazioni!$B$4,IF(E138="Frego",Impostazioni!$B$5,IF(E138="Jessica",Impostazioni!$B$6,0)))</x:f>
        <x:v>0</x:v>
      </x:c>
      <x:c r="P138" s="198" t="n">
        <x:f>N138*O138</x:f>
        <x:v>0</x:v>
      </x:c>
      <x:c r="Q138" s="197"/>
      <x:c r="R138" s="197"/>
    </x:row>
    <x:row r="139">
      <x:c r="A139" s="197"/>
      <x:c r="B139" s="197"/>
      <x:c r="C139" s="197"/>
      <x:c r="D139" s="197"/>
      <x:c r="E139" s="197"/>
      <x:c r="F139" s="197"/>
      <x:c r="G139" s="197"/>
      <x:c r="H139" s="197"/>
      <x:c r="I139" s="197"/>
      <x:c r="J139" s="197"/>
      <x:c r="K139" s="197"/>
      <x:c r="L139" s="197"/>
      <x:c r="M139" s="197"/>
      <x:c r="N139" s="198" t="n">
        <x:f>IF(M139&lt;&gt;"",M139,IF(AND(K139&lt;&gt;"",L139&lt;&gt;""),K139*L139/60,0))</x:f>
        <x:v>0</x:v>
      </x:c>
      <x:c r="O139" s="198" t="n">
        <x:f>IF(E139="Fabio",Impostazioni!$B$4,IF(E139="Frego",Impostazioni!$B$5,IF(E139="Jessica",Impostazioni!$B$6,0)))</x:f>
        <x:v>0</x:v>
      </x:c>
      <x:c r="P139" s="198" t="n">
        <x:f>N139*O139</x:f>
        <x:v>0</x:v>
      </x:c>
      <x:c r="Q139" s="197"/>
      <x:c r="R139" s="197"/>
    </x:row>
    <x:row r="140">
      <x:c r="A140" s="197"/>
      <x:c r="B140" s="197"/>
      <x:c r="C140" s="197"/>
      <x:c r="D140" s="197"/>
      <x:c r="E140" s="197"/>
      <x:c r="F140" s="197"/>
      <x:c r="G140" s="197"/>
      <x:c r="H140" s="197"/>
      <x:c r="I140" s="197"/>
      <x:c r="J140" s="197"/>
      <x:c r="K140" s="197"/>
      <x:c r="L140" s="197"/>
      <x:c r="M140" s="197"/>
      <x:c r="N140" s="198" t="n">
        <x:f>IF(M140&lt;&gt;"",M140,IF(AND(K140&lt;&gt;"",L140&lt;&gt;""),K140*L140/60,0))</x:f>
        <x:v>0</x:v>
      </x:c>
      <x:c r="O140" s="198" t="n">
        <x:f>IF(E140="Fabio",Impostazioni!$B$4,IF(E140="Frego",Impostazioni!$B$5,IF(E140="Jessica",Impostazioni!$B$6,0)))</x:f>
        <x:v>0</x:v>
      </x:c>
      <x:c r="P140" s="198" t="n">
        <x:f>N140*O140</x:f>
        <x:v>0</x:v>
      </x:c>
      <x:c r="Q140" s="197"/>
      <x:c r="R140" s="197"/>
    </x:row>
    <x:row r="141">
      <x:c r="A141" s="197"/>
      <x:c r="B141" s="197"/>
      <x:c r="C141" s="197"/>
      <x:c r="D141" s="197"/>
      <x:c r="E141" s="197"/>
      <x:c r="F141" s="197"/>
      <x:c r="G141" s="197"/>
      <x:c r="H141" s="197"/>
      <x:c r="I141" s="197"/>
      <x:c r="J141" s="197"/>
      <x:c r="K141" s="197"/>
      <x:c r="L141" s="197"/>
      <x:c r="M141" s="197"/>
      <x:c r="N141" s="198" t="n">
        <x:f>IF(M141&lt;&gt;"",M141,IF(AND(K141&lt;&gt;"",L141&lt;&gt;""),K141*L141/60,0))</x:f>
        <x:v>0</x:v>
      </x:c>
      <x:c r="O141" s="198" t="n">
        <x:f>IF(E141="Fabio",Impostazioni!$B$4,IF(E141="Frego",Impostazioni!$B$5,IF(E141="Jessica",Impostazioni!$B$6,0)))</x:f>
        <x:v>0</x:v>
      </x:c>
      <x:c r="P141" s="198" t="n">
        <x:f>N141*O141</x:f>
        <x:v>0</x:v>
      </x:c>
      <x:c r="Q141" s="197"/>
      <x:c r="R141" s="197"/>
    </x:row>
    <x:row r="142">
      <x:c r="A142" s="197"/>
      <x:c r="B142" s="197"/>
      <x:c r="C142" s="197"/>
      <x:c r="D142" s="197"/>
      <x:c r="E142" s="197"/>
      <x:c r="F142" s="197"/>
      <x:c r="G142" s="197"/>
      <x:c r="H142" s="197"/>
      <x:c r="I142" s="197"/>
      <x:c r="J142" s="197"/>
      <x:c r="K142" s="197"/>
      <x:c r="L142" s="197"/>
      <x:c r="M142" s="197"/>
      <x:c r="N142" s="198" t="n">
        <x:f>IF(M142&lt;&gt;"",M142,IF(AND(K142&lt;&gt;"",L142&lt;&gt;""),K142*L142/60,0))</x:f>
        <x:v>0</x:v>
      </x:c>
      <x:c r="O142" s="198" t="n">
        <x:f>IF(E142="Fabio",Impostazioni!$B$4,IF(E142="Frego",Impostazioni!$B$5,IF(E142="Jessica",Impostazioni!$B$6,0)))</x:f>
        <x:v>0</x:v>
      </x:c>
      <x:c r="P142" s="198" t="n">
        <x:f>N142*O142</x:f>
        <x:v>0</x:v>
      </x:c>
      <x:c r="Q142" s="197"/>
      <x:c r="R142" s="197"/>
    </x:row>
    <x:row r="143">
      <x:c r="A143" s="197"/>
      <x:c r="B143" s="197"/>
      <x:c r="C143" s="197"/>
      <x:c r="D143" s="197"/>
      <x:c r="E143" s="197"/>
      <x:c r="F143" s="197"/>
      <x:c r="G143" s="197"/>
      <x:c r="H143" s="197"/>
      <x:c r="I143" s="197"/>
      <x:c r="J143" s="197"/>
      <x:c r="K143" s="197"/>
      <x:c r="L143" s="197"/>
      <x:c r="M143" s="197"/>
      <x:c r="N143" s="198" t="n">
        <x:f>IF(M143&lt;&gt;"",M143,IF(AND(K143&lt;&gt;"",L143&lt;&gt;""),K143*L143/60,0))</x:f>
        <x:v>0</x:v>
      </x:c>
      <x:c r="O143" s="198" t="n">
        <x:f>IF(E143="Fabio",Impostazioni!$B$4,IF(E143="Frego",Impostazioni!$B$5,IF(E143="Jessica",Impostazioni!$B$6,0)))</x:f>
        <x:v>0</x:v>
      </x:c>
      <x:c r="P143" s="198" t="n">
        <x:f>N143*O143</x:f>
        <x:v>0</x:v>
      </x:c>
      <x:c r="Q143" s="197"/>
      <x:c r="R143" s="197"/>
    </x:row>
    <x:row r="144">
      <x:c r="A144" s="197"/>
      <x:c r="B144" s="197"/>
      <x:c r="C144" s="197"/>
      <x:c r="D144" s="197"/>
      <x:c r="E144" s="197"/>
      <x:c r="F144" s="197"/>
      <x:c r="G144" s="197"/>
      <x:c r="H144" s="197"/>
      <x:c r="I144" s="197"/>
      <x:c r="J144" s="197"/>
      <x:c r="K144" s="197"/>
      <x:c r="L144" s="197"/>
      <x:c r="M144" s="197"/>
      <x:c r="N144" s="198" t="n">
        <x:f>IF(M144&lt;&gt;"",M144,IF(AND(K144&lt;&gt;"",L144&lt;&gt;""),K144*L144/60,0))</x:f>
        <x:v>0</x:v>
      </x:c>
      <x:c r="O144" s="198" t="n">
        <x:f>IF(E144="Fabio",Impostazioni!$B$4,IF(E144="Frego",Impostazioni!$B$5,IF(E144="Jessica",Impostazioni!$B$6,0)))</x:f>
        <x:v>0</x:v>
      </x:c>
      <x:c r="P144" s="198" t="n">
        <x:f>N144*O144</x:f>
        <x:v>0</x:v>
      </x:c>
      <x:c r="Q144" s="197"/>
      <x:c r="R144" s="197"/>
    </x:row>
    <x:row r="145">
      <x:c r="A145" s="197"/>
      <x:c r="B145" s="197"/>
      <x:c r="C145" s="197"/>
      <x:c r="D145" s="197"/>
      <x:c r="E145" s="197"/>
      <x:c r="F145" s="197"/>
      <x:c r="G145" s="197"/>
      <x:c r="H145" s="197"/>
      <x:c r="I145" s="197"/>
      <x:c r="J145" s="197"/>
      <x:c r="K145" s="197"/>
      <x:c r="L145" s="197"/>
      <x:c r="M145" s="197"/>
      <x:c r="N145" s="198" t="n">
        <x:f>IF(M145&lt;&gt;"",M145,IF(AND(K145&lt;&gt;"",L145&lt;&gt;""),K145*L145/60,0))</x:f>
        <x:v>0</x:v>
      </x:c>
      <x:c r="O145" s="198" t="n">
        <x:f>IF(E145="Fabio",Impostazioni!$B$4,IF(E145="Frego",Impostazioni!$B$5,IF(E145="Jessica",Impostazioni!$B$6,0)))</x:f>
        <x:v>0</x:v>
      </x:c>
      <x:c r="P145" s="198" t="n">
        <x:f>N145*O145</x:f>
        <x:v>0</x:v>
      </x:c>
      <x:c r="Q145" s="197"/>
      <x:c r="R145" s="197"/>
    </x:row>
    <x:row r="146">
      <x:c r="A146" s="197"/>
      <x:c r="B146" s="197"/>
      <x:c r="C146" s="197"/>
      <x:c r="D146" s="197"/>
      <x:c r="E146" s="197"/>
      <x:c r="F146" s="197"/>
      <x:c r="G146" s="197"/>
      <x:c r="H146" s="197"/>
      <x:c r="I146" s="197"/>
      <x:c r="J146" s="197"/>
      <x:c r="K146" s="197"/>
      <x:c r="L146" s="197"/>
      <x:c r="M146" s="197"/>
      <x:c r="N146" s="198" t="n">
        <x:f>IF(M146&lt;&gt;"",M146,IF(AND(K146&lt;&gt;"",L146&lt;&gt;""),K146*L146/60,0))</x:f>
        <x:v>0</x:v>
      </x:c>
      <x:c r="O146" s="198" t="n">
        <x:f>IF(E146="Fabio",Impostazioni!$B$4,IF(E146="Frego",Impostazioni!$B$5,IF(E146="Jessica",Impostazioni!$B$6,0)))</x:f>
        <x:v>0</x:v>
      </x:c>
      <x:c r="P146" s="198" t="n">
        <x:f>N146*O146</x:f>
        <x:v>0</x:v>
      </x:c>
      <x:c r="Q146" s="197"/>
      <x:c r="R146" s="197"/>
    </x:row>
    <x:row r="147">
      <x:c r="A147" s="197"/>
      <x:c r="B147" s="197"/>
      <x:c r="C147" s="197"/>
      <x:c r="D147" s="197"/>
      <x:c r="E147" s="197"/>
      <x:c r="F147" s="197"/>
      <x:c r="G147" s="197"/>
      <x:c r="H147" s="197"/>
      <x:c r="I147" s="197"/>
      <x:c r="J147" s="197"/>
      <x:c r="K147" s="197"/>
      <x:c r="L147" s="197"/>
      <x:c r="M147" s="197"/>
      <x:c r="N147" s="198" t="n">
        <x:f>IF(M147&lt;&gt;"",M147,IF(AND(K147&lt;&gt;"",L147&lt;&gt;""),K147*L147/60,0))</x:f>
        <x:v>0</x:v>
      </x:c>
      <x:c r="O147" s="198" t="n">
        <x:f>IF(E147="Fabio",Impostazioni!$B$4,IF(E147="Frego",Impostazioni!$B$5,IF(E147="Jessica",Impostazioni!$B$6,0)))</x:f>
        <x:v>0</x:v>
      </x:c>
      <x:c r="P147" s="198" t="n">
        <x:f>N147*O147</x:f>
        <x:v>0</x:v>
      </x:c>
      <x:c r="Q147" s="197"/>
      <x:c r="R147" s="197"/>
    </x:row>
    <x:row r="148">
      <x:c r="A148" s="197"/>
      <x:c r="B148" s="197"/>
      <x:c r="C148" s="197"/>
      <x:c r="D148" s="197"/>
      <x:c r="E148" s="197"/>
      <x:c r="F148" s="197"/>
      <x:c r="G148" s="197"/>
      <x:c r="H148" s="197"/>
      <x:c r="I148" s="197"/>
      <x:c r="J148" s="197"/>
      <x:c r="K148" s="197"/>
      <x:c r="L148" s="197"/>
      <x:c r="M148" s="197"/>
      <x:c r="N148" s="198" t="n">
        <x:f>IF(M148&lt;&gt;"",M148,IF(AND(K148&lt;&gt;"",L148&lt;&gt;""),K148*L148/60,0))</x:f>
        <x:v>0</x:v>
      </x:c>
      <x:c r="O148" s="198" t="n">
        <x:f>IF(E148="Fabio",Impostazioni!$B$4,IF(E148="Frego",Impostazioni!$B$5,IF(E148="Jessica",Impostazioni!$B$6,0)))</x:f>
        <x:v>0</x:v>
      </x:c>
      <x:c r="P148" s="198" t="n">
        <x:f>N148*O148</x:f>
        <x:v>0</x:v>
      </x:c>
      <x:c r="Q148" s="197"/>
      <x:c r="R148" s="197"/>
    </x:row>
    <x:row r="149">
      <x:c r="A149" s="197"/>
      <x:c r="B149" s="197"/>
      <x:c r="C149" s="197"/>
      <x:c r="D149" s="197"/>
      <x:c r="E149" s="197"/>
      <x:c r="F149" s="197"/>
      <x:c r="G149" s="197"/>
      <x:c r="H149" s="197"/>
      <x:c r="I149" s="197"/>
      <x:c r="J149" s="197"/>
      <x:c r="K149" s="197"/>
      <x:c r="L149" s="197"/>
      <x:c r="M149" s="197"/>
      <x:c r="N149" s="198" t="n">
        <x:f>IF(M149&lt;&gt;"",M149,IF(AND(K149&lt;&gt;"",L149&lt;&gt;""),K149*L149/60,0))</x:f>
        <x:v>0</x:v>
      </x:c>
      <x:c r="O149" s="198" t="n">
        <x:f>IF(E149="Fabio",Impostazioni!$B$4,IF(E149="Frego",Impostazioni!$B$5,IF(E149="Jessica",Impostazioni!$B$6,0)))</x:f>
        <x:v>0</x:v>
      </x:c>
      <x:c r="P149" s="198" t="n">
        <x:f>N149*O149</x:f>
        <x:v>0</x:v>
      </x:c>
      <x:c r="Q149" s="197"/>
      <x:c r="R149" s="197"/>
    </x:row>
    <x:row r="150">
      <x:c r="A150" s="197"/>
      <x:c r="B150" s="197"/>
      <x:c r="C150" s="197"/>
      <x:c r="D150" s="197"/>
      <x:c r="E150" s="197"/>
      <x:c r="F150" s="197"/>
      <x:c r="G150" s="197"/>
      <x:c r="H150" s="197"/>
      <x:c r="I150" s="197"/>
      <x:c r="J150" s="197"/>
      <x:c r="K150" s="197"/>
      <x:c r="L150" s="197"/>
      <x:c r="M150" s="197"/>
      <x:c r="N150" s="198" t="n">
        <x:f>IF(M150&lt;&gt;"",M150,IF(AND(K150&lt;&gt;"",L150&lt;&gt;""),K150*L150/60,0))</x:f>
        <x:v>0</x:v>
      </x:c>
      <x:c r="O150" s="198" t="n">
        <x:f>IF(E150="Fabio",Impostazioni!$B$4,IF(E150="Frego",Impostazioni!$B$5,IF(E150="Jessica",Impostazioni!$B$6,0)))</x:f>
        <x:v>0</x:v>
      </x:c>
      <x:c r="P150" s="198" t="n">
        <x:f>N150*O150</x:f>
        <x:v>0</x:v>
      </x:c>
      <x:c r="Q150" s="197"/>
      <x:c r="R150" s="197"/>
    </x:row>
    <x:row r="151">
      <x:c r="A151" s="197"/>
      <x:c r="B151" s="197"/>
      <x:c r="C151" s="197"/>
      <x:c r="D151" s="197"/>
      <x:c r="E151" s="197"/>
      <x:c r="F151" s="197"/>
      <x:c r="G151" s="197"/>
      <x:c r="H151" s="197"/>
      <x:c r="I151" s="197"/>
      <x:c r="J151" s="197"/>
      <x:c r="K151" s="197"/>
      <x:c r="L151" s="197"/>
      <x:c r="M151" s="197"/>
      <x:c r="N151" s="198" t="n">
        <x:f>IF(M151&lt;&gt;"",M151,IF(AND(K151&lt;&gt;"",L151&lt;&gt;""),K151*L151/60,0))</x:f>
        <x:v>0</x:v>
      </x:c>
      <x:c r="O151" s="198" t="n">
        <x:f>IF(E151="Fabio",Impostazioni!$B$4,IF(E151="Frego",Impostazioni!$B$5,IF(E151="Jessica",Impostazioni!$B$6,0)))</x:f>
        <x:v>0</x:v>
      </x:c>
      <x:c r="P151" s="198" t="n">
        <x:f>N151*O151</x:f>
        <x:v>0</x:v>
      </x:c>
      <x:c r="Q151" s="197"/>
      <x:c r="R151" s="197"/>
    </x:row>
    <x:row r="152">
      <x:c r="A152" s="197"/>
      <x:c r="B152" s="197"/>
      <x:c r="C152" s="197"/>
      <x:c r="D152" s="197"/>
      <x:c r="E152" s="197"/>
      <x:c r="F152" s="197"/>
      <x:c r="G152" s="197"/>
      <x:c r="H152" s="197"/>
      <x:c r="I152" s="197"/>
      <x:c r="J152" s="197"/>
      <x:c r="K152" s="197"/>
      <x:c r="L152" s="197"/>
      <x:c r="M152" s="197"/>
      <x:c r="N152" s="198" t="n">
        <x:f>IF(M152&lt;&gt;"",M152,IF(AND(K152&lt;&gt;"",L152&lt;&gt;""),K152*L152/60,0))</x:f>
        <x:v>0</x:v>
      </x:c>
      <x:c r="O152" s="198" t="n">
        <x:f>IF(E152="Fabio",Impostazioni!$B$4,IF(E152="Frego",Impostazioni!$B$5,IF(E152="Jessica",Impostazioni!$B$6,0)))</x:f>
        <x:v>0</x:v>
      </x:c>
      <x:c r="P152" s="198" t="n">
        <x:f>N152*O152</x:f>
        <x:v>0</x:v>
      </x:c>
      <x:c r="Q152" s="197"/>
      <x:c r="R152" s="197"/>
    </x:row>
    <x:row r="153">
      <x:c r="A153" s="197"/>
      <x:c r="B153" s="197"/>
      <x:c r="C153" s="197"/>
      <x:c r="D153" s="197"/>
      <x:c r="E153" s="197"/>
      <x:c r="F153" s="197"/>
      <x:c r="G153" s="197"/>
      <x:c r="H153" s="197"/>
      <x:c r="I153" s="197"/>
      <x:c r="J153" s="197"/>
      <x:c r="K153" s="197"/>
      <x:c r="L153" s="197"/>
      <x:c r="M153" s="197"/>
      <x:c r="N153" s="198" t="n">
        <x:f>IF(M153&lt;&gt;"",M153,IF(AND(K153&lt;&gt;"",L153&lt;&gt;""),K153*L153/60,0))</x:f>
        <x:v>0</x:v>
      </x:c>
      <x:c r="O153" s="198" t="n">
        <x:f>IF(E153="Fabio",Impostazioni!$B$4,IF(E153="Frego",Impostazioni!$B$5,IF(E153="Jessica",Impostazioni!$B$6,0)))</x:f>
        <x:v>0</x:v>
      </x:c>
      <x:c r="P153" s="198" t="n">
        <x:f>N153*O153</x:f>
        <x:v>0</x:v>
      </x:c>
      <x:c r="Q153" s="197"/>
      <x:c r="R153" s="197"/>
    </x:row>
    <x:row r="154">
      <x:c r="A154" s="197"/>
      <x:c r="B154" s="197"/>
      <x:c r="C154" s="197"/>
      <x:c r="D154" s="197"/>
      <x:c r="E154" s="197"/>
      <x:c r="F154" s="197"/>
      <x:c r="G154" s="197"/>
      <x:c r="H154" s="197"/>
      <x:c r="I154" s="197"/>
      <x:c r="J154" s="197"/>
      <x:c r="K154" s="197"/>
      <x:c r="L154" s="197"/>
      <x:c r="M154" s="197"/>
      <x:c r="N154" s="198" t="n">
        <x:f>IF(M154&lt;&gt;"",M154,IF(AND(K154&lt;&gt;"",L154&lt;&gt;""),K154*L154/60,0))</x:f>
        <x:v>0</x:v>
      </x:c>
      <x:c r="O154" s="198" t="n">
        <x:f>IF(E154="Fabio",Impostazioni!$B$4,IF(E154="Frego",Impostazioni!$B$5,IF(E154="Jessica",Impostazioni!$B$6,0)))</x:f>
        <x:v>0</x:v>
      </x:c>
      <x:c r="P154" s="198" t="n">
        <x:f>N154*O154</x:f>
        <x:v>0</x:v>
      </x:c>
      <x:c r="Q154" s="197"/>
      <x:c r="R154" s="197"/>
    </x:row>
    <x:row r="155">
      <x:c r="A155" s="197"/>
      <x:c r="B155" s="197"/>
      <x:c r="C155" s="197"/>
      <x:c r="D155" s="197"/>
      <x:c r="E155" s="197"/>
      <x:c r="F155" s="197"/>
      <x:c r="G155" s="197"/>
      <x:c r="H155" s="197"/>
      <x:c r="I155" s="197"/>
      <x:c r="J155" s="197"/>
      <x:c r="K155" s="197"/>
      <x:c r="L155" s="197"/>
      <x:c r="M155" s="197"/>
      <x:c r="N155" s="198" t="n">
        <x:f>IF(M155&lt;&gt;"",M155,IF(AND(K155&lt;&gt;"",L155&lt;&gt;""),K155*L155/60,0))</x:f>
        <x:v>0</x:v>
      </x:c>
      <x:c r="O155" s="198" t="n">
        <x:f>IF(E155="Fabio",Impostazioni!$B$4,IF(E155="Frego",Impostazioni!$B$5,IF(E155="Jessica",Impostazioni!$B$6,0)))</x:f>
        <x:v>0</x:v>
      </x:c>
      <x:c r="P155" s="198" t="n">
        <x:f>N155*O155</x:f>
        <x:v>0</x:v>
      </x:c>
      <x:c r="Q155" s="197"/>
      <x:c r="R155" s="197"/>
    </x:row>
    <x:row r="156">
      <x:c r="A156" s="197"/>
      <x:c r="B156" s="197"/>
      <x:c r="C156" s="197"/>
      <x:c r="D156" s="197"/>
      <x:c r="E156" s="197"/>
      <x:c r="F156" s="197"/>
      <x:c r="G156" s="197"/>
      <x:c r="H156" s="197"/>
      <x:c r="I156" s="197"/>
      <x:c r="J156" s="197"/>
      <x:c r="K156" s="197"/>
      <x:c r="L156" s="197"/>
      <x:c r="M156" s="197"/>
      <x:c r="N156" s="198" t="n">
        <x:f>IF(M156&lt;&gt;"",M156,IF(AND(K156&lt;&gt;"",L156&lt;&gt;""),K156*L156/60,0))</x:f>
        <x:v>0</x:v>
      </x:c>
      <x:c r="O156" s="198" t="n">
        <x:f>IF(E156="Fabio",Impostazioni!$B$4,IF(E156="Frego",Impostazioni!$B$5,IF(E156="Jessica",Impostazioni!$B$6,0)))</x:f>
        <x:v>0</x:v>
      </x:c>
      <x:c r="P156" s="198" t="n">
        <x:f>N156*O156</x:f>
        <x:v>0</x:v>
      </x:c>
      <x:c r="Q156" s="197"/>
      <x:c r="R156" s="197"/>
    </x:row>
    <x:row r="157">
      <x:c r="A157" s="197"/>
      <x:c r="B157" s="197"/>
      <x:c r="C157" s="197"/>
      <x:c r="D157" s="197"/>
      <x:c r="E157" s="197"/>
      <x:c r="F157" s="197"/>
      <x:c r="G157" s="197"/>
      <x:c r="H157" s="197"/>
      <x:c r="I157" s="197"/>
      <x:c r="J157" s="197"/>
      <x:c r="K157" s="197"/>
      <x:c r="L157" s="197"/>
      <x:c r="M157" s="197"/>
      <x:c r="N157" s="198" t="n">
        <x:f>IF(M157&lt;&gt;"",M157,IF(AND(K157&lt;&gt;"",L157&lt;&gt;""),K157*L157/60,0))</x:f>
        <x:v>0</x:v>
      </x:c>
      <x:c r="O157" s="198" t="n">
        <x:f>IF(E157="Fabio",Impostazioni!$B$4,IF(E157="Frego",Impostazioni!$B$5,IF(E157="Jessica",Impostazioni!$B$6,0)))</x:f>
        <x:v>0</x:v>
      </x:c>
      <x:c r="P157" s="198" t="n">
        <x:f>N157*O157</x:f>
        <x:v>0</x:v>
      </x:c>
      <x:c r="Q157" s="197"/>
      <x:c r="R157" s="197"/>
    </x:row>
    <x:row r="158">
      <x:c r="A158" s="197"/>
      <x:c r="B158" s="197"/>
      <x:c r="C158" s="197"/>
      <x:c r="D158" s="197"/>
      <x:c r="E158" s="197"/>
      <x:c r="F158" s="197"/>
      <x:c r="G158" s="197"/>
      <x:c r="H158" s="197"/>
      <x:c r="I158" s="197"/>
      <x:c r="J158" s="197"/>
      <x:c r="K158" s="197"/>
      <x:c r="L158" s="197"/>
      <x:c r="M158" s="197"/>
      <x:c r="N158" s="198" t="n">
        <x:f>IF(M158&lt;&gt;"",M158,IF(AND(K158&lt;&gt;"",L158&lt;&gt;""),K158*L158/60,0))</x:f>
        <x:v>0</x:v>
      </x:c>
      <x:c r="O158" s="198" t="n">
        <x:f>IF(E158="Fabio",Impostazioni!$B$4,IF(E158="Frego",Impostazioni!$B$5,IF(E158="Jessica",Impostazioni!$B$6,0)))</x:f>
        <x:v>0</x:v>
      </x:c>
      <x:c r="P158" s="198" t="n">
        <x:f>N158*O158</x:f>
        <x:v>0</x:v>
      </x:c>
      <x:c r="Q158" s="197"/>
      <x:c r="R158" s="197"/>
    </x:row>
    <x:row r="159">
      <x:c r="A159" s="197"/>
      <x:c r="B159" s="197"/>
      <x:c r="C159" s="197"/>
      <x:c r="D159" s="197"/>
      <x:c r="E159" s="197"/>
      <x:c r="F159" s="197"/>
      <x:c r="G159" s="197"/>
      <x:c r="H159" s="197"/>
      <x:c r="I159" s="197"/>
      <x:c r="J159" s="197"/>
      <x:c r="K159" s="197"/>
      <x:c r="L159" s="197"/>
      <x:c r="M159" s="197"/>
      <x:c r="N159" s="198" t="n">
        <x:f>IF(M159&lt;&gt;"",M159,IF(AND(K159&lt;&gt;"",L159&lt;&gt;""),K159*L159/60,0))</x:f>
        <x:v>0</x:v>
      </x:c>
      <x:c r="O159" s="198" t="n">
        <x:f>IF(E159="Fabio",Impostazioni!$B$4,IF(E159="Frego",Impostazioni!$B$5,IF(E159="Jessica",Impostazioni!$B$6,0)))</x:f>
        <x:v>0</x:v>
      </x:c>
      <x:c r="P159" s="198" t="n">
        <x:f>N159*O159</x:f>
        <x:v>0</x:v>
      </x:c>
      <x:c r="Q159" s="197"/>
      <x:c r="R159" s="197"/>
    </x:row>
    <x:row r="160">
      <x:c r="A160" s="197"/>
      <x:c r="B160" s="197"/>
      <x:c r="C160" s="197"/>
      <x:c r="D160" s="197"/>
      <x:c r="E160" s="197"/>
      <x:c r="F160" s="197"/>
      <x:c r="G160" s="197"/>
      <x:c r="H160" s="197"/>
      <x:c r="I160" s="197"/>
      <x:c r="J160" s="197"/>
      <x:c r="K160" s="197"/>
      <x:c r="L160" s="197"/>
      <x:c r="M160" s="197"/>
      <x:c r="N160" s="198" t="n">
        <x:f>IF(M160&lt;&gt;"",M160,IF(AND(K160&lt;&gt;"",L160&lt;&gt;""),K160*L160/60,0))</x:f>
        <x:v>0</x:v>
      </x:c>
      <x:c r="O160" s="198" t="n">
        <x:f>IF(E160="Fabio",Impostazioni!$B$4,IF(E160="Frego",Impostazioni!$B$5,IF(E160="Jessica",Impostazioni!$B$6,0)))</x:f>
        <x:v>0</x:v>
      </x:c>
      <x:c r="P160" s="198" t="n">
        <x:f>N160*O160</x:f>
        <x:v>0</x:v>
      </x:c>
      <x:c r="Q160" s="197"/>
      <x:c r="R160" s="197"/>
    </x:row>
    <x:row r="161">
      <x:c r="A161" s="197"/>
      <x:c r="B161" s="197"/>
      <x:c r="C161" s="197"/>
      <x:c r="D161" s="197"/>
      <x:c r="E161" s="197"/>
      <x:c r="F161" s="197"/>
      <x:c r="G161" s="197"/>
      <x:c r="H161" s="197"/>
      <x:c r="I161" s="197"/>
      <x:c r="J161" s="197"/>
      <x:c r="K161" s="197"/>
      <x:c r="L161" s="197"/>
      <x:c r="M161" s="197"/>
      <x:c r="N161" s="198" t="n">
        <x:f>IF(M161&lt;&gt;"",M161,IF(AND(K161&lt;&gt;"",L161&lt;&gt;""),K161*L161/60,0))</x:f>
        <x:v>0</x:v>
      </x:c>
      <x:c r="O161" s="198" t="n">
        <x:f>IF(E161="Fabio",Impostazioni!$B$4,IF(E161="Frego",Impostazioni!$B$5,IF(E161="Jessica",Impostazioni!$B$6,0)))</x:f>
        <x:v>0</x:v>
      </x:c>
      <x:c r="P161" s="198" t="n">
        <x:f>N161*O161</x:f>
        <x:v>0</x:v>
      </x:c>
      <x:c r="Q161" s="197"/>
      <x:c r="R161" s="197"/>
    </x:row>
    <x:row r="162">
      <x:c r="A162" s="197"/>
      <x:c r="B162" s="197"/>
      <x:c r="C162" s="197"/>
      <x:c r="D162" s="197"/>
      <x:c r="E162" s="197"/>
      <x:c r="F162" s="197"/>
      <x:c r="G162" s="197"/>
      <x:c r="H162" s="197"/>
      <x:c r="I162" s="197"/>
      <x:c r="J162" s="197"/>
      <x:c r="K162" s="197"/>
      <x:c r="L162" s="197"/>
      <x:c r="M162" s="197"/>
      <x:c r="N162" s="198" t="n">
        <x:f>IF(M162&lt;&gt;"",M162,IF(AND(K162&lt;&gt;"",L162&lt;&gt;""),K162*L162/60,0))</x:f>
        <x:v>0</x:v>
      </x:c>
      <x:c r="O162" s="198" t="n">
        <x:f>IF(E162="Fabio",Impostazioni!$B$4,IF(E162="Frego",Impostazioni!$B$5,IF(E162="Jessica",Impostazioni!$B$6,0)))</x:f>
        <x:v>0</x:v>
      </x:c>
      <x:c r="P162" s="198" t="n">
        <x:f>N162*O162</x:f>
        <x:v>0</x:v>
      </x:c>
      <x:c r="Q162" s="197"/>
      <x:c r="R162" s="197"/>
    </x:row>
    <x:row r="163">
      <x:c r="A163" s="197"/>
      <x:c r="B163" s="197"/>
      <x:c r="C163" s="197"/>
      <x:c r="D163" s="197"/>
      <x:c r="E163" s="197"/>
      <x:c r="F163" s="197"/>
      <x:c r="G163" s="197"/>
      <x:c r="H163" s="197"/>
      <x:c r="I163" s="197"/>
      <x:c r="J163" s="197"/>
      <x:c r="K163" s="197"/>
      <x:c r="L163" s="197"/>
      <x:c r="M163" s="197"/>
      <x:c r="N163" s="198" t="n">
        <x:f>IF(M163&lt;&gt;"",M163,IF(AND(K163&lt;&gt;"",L163&lt;&gt;""),K163*L163/60,0))</x:f>
        <x:v>0</x:v>
      </x:c>
      <x:c r="O163" s="198" t="n">
        <x:f>IF(E163="Fabio",Impostazioni!$B$4,IF(E163="Frego",Impostazioni!$B$5,IF(E163="Jessica",Impostazioni!$B$6,0)))</x:f>
        <x:v>0</x:v>
      </x:c>
      <x:c r="P163" s="198" t="n">
        <x:f>N163*O163</x:f>
        <x:v>0</x:v>
      </x:c>
      <x:c r="Q163" s="197"/>
      <x:c r="R163" s="197"/>
    </x:row>
    <x:row r="164">
      <x:c r="A164" s="197"/>
      <x:c r="B164" s="197"/>
      <x:c r="C164" s="197"/>
      <x:c r="D164" s="197"/>
      <x:c r="E164" s="197"/>
      <x:c r="F164" s="197"/>
      <x:c r="G164" s="197"/>
      <x:c r="H164" s="197"/>
      <x:c r="I164" s="197"/>
      <x:c r="J164" s="197"/>
      <x:c r="K164" s="197"/>
      <x:c r="L164" s="197"/>
      <x:c r="M164" s="197"/>
      <x:c r="N164" s="198" t="n">
        <x:f>IF(M164&lt;&gt;"",M164,IF(AND(K164&lt;&gt;"",L164&lt;&gt;""),K164*L164/60,0))</x:f>
        <x:v>0</x:v>
      </x:c>
      <x:c r="O164" s="198" t="n">
        <x:f>IF(E164="Fabio",Impostazioni!$B$4,IF(E164="Frego",Impostazioni!$B$5,IF(E164="Jessica",Impostazioni!$B$6,0)))</x:f>
        <x:v>0</x:v>
      </x:c>
      <x:c r="P164" s="198" t="n">
        <x:f>N164*O164</x:f>
        <x:v>0</x:v>
      </x:c>
      <x:c r="Q164" s="197"/>
      <x:c r="R164" s="197"/>
    </x:row>
    <x:row r="165">
      <x:c r="A165" s="197"/>
      <x:c r="B165" s="197"/>
      <x:c r="C165" s="197"/>
      <x:c r="D165" s="197"/>
      <x:c r="E165" s="197"/>
      <x:c r="F165" s="197"/>
      <x:c r="G165" s="197"/>
      <x:c r="H165" s="197"/>
      <x:c r="I165" s="197"/>
      <x:c r="J165" s="197"/>
      <x:c r="K165" s="197"/>
      <x:c r="L165" s="197"/>
      <x:c r="M165" s="197"/>
      <x:c r="N165" s="198" t="n">
        <x:f>IF(M165&lt;&gt;"",M165,IF(AND(K165&lt;&gt;"",L165&lt;&gt;""),K165*L165/60,0))</x:f>
        <x:v>0</x:v>
      </x:c>
      <x:c r="O165" s="198" t="n">
        <x:f>IF(E165="Fabio",Impostazioni!$B$4,IF(E165="Frego",Impostazioni!$B$5,IF(E165="Jessica",Impostazioni!$B$6,0)))</x:f>
        <x:v>0</x:v>
      </x:c>
      <x:c r="P165" s="198" t="n">
        <x:f>N165*O165</x:f>
        <x:v>0</x:v>
      </x:c>
      <x:c r="Q165" s="197"/>
      <x:c r="R165" s="197"/>
    </x:row>
    <x:row r="166">
      <x:c r="A166" s="197"/>
      <x:c r="B166" s="197"/>
      <x:c r="C166" s="197"/>
      <x:c r="D166" s="197"/>
      <x:c r="E166" s="197"/>
      <x:c r="F166" s="197"/>
      <x:c r="G166" s="197"/>
      <x:c r="H166" s="197"/>
      <x:c r="I166" s="197"/>
      <x:c r="J166" s="197"/>
      <x:c r="K166" s="197"/>
      <x:c r="L166" s="197"/>
      <x:c r="M166" s="197"/>
      <x:c r="N166" s="198" t="n">
        <x:f>IF(M166&lt;&gt;"",M166,IF(AND(K166&lt;&gt;"",L166&lt;&gt;""),K166*L166/60,0))</x:f>
        <x:v>0</x:v>
      </x:c>
      <x:c r="O166" s="198" t="n">
        <x:f>IF(E166="Fabio",Impostazioni!$B$4,IF(E166="Frego",Impostazioni!$B$5,IF(E166="Jessica",Impostazioni!$B$6,0)))</x:f>
        <x:v>0</x:v>
      </x:c>
      <x:c r="P166" s="198" t="n">
        <x:f>N166*O166</x:f>
        <x:v>0</x:v>
      </x:c>
      <x:c r="Q166" s="197"/>
      <x:c r="R166" s="197"/>
    </x:row>
    <x:row r="167">
      <x:c r="A167" s="197"/>
      <x:c r="B167" s="197"/>
      <x:c r="C167" s="197"/>
      <x:c r="D167" s="197"/>
      <x:c r="E167" s="197"/>
      <x:c r="F167" s="197"/>
      <x:c r="G167" s="197"/>
      <x:c r="H167" s="197"/>
      <x:c r="I167" s="197"/>
      <x:c r="J167" s="197"/>
      <x:c r="K167" s="197"/>
      <x:c r="L167" s="197"/>
      <x:c r="M167" s="197"/>
      <x:c r="N167" s="198" t="n">
        <x:f>IF(M167&lt;&gt;"",M167,IF(AND(K167&lt;&gt;"",L167&lt;&gt;""),K167*L167/60,0))</x:f>
        <x:v>0</x:v>
      </x:c>
      <x:c r="O167" s="198" t="n">
        <x:f>IF(E167="Fabio",Impostazioni!$B$4,IF(E167="Frego",Impostazioni!$B$5,IF(E167="Jessica",Impostazioni!$B$6,0)))</x:f>
        <x:v>0</x:v>
      </x:c>
      <x:c r="P167" s="198" t="n">
        <x:f>N167*O167</x:f>
        <x:v>0</x:v>
      </x:c>
      <x:c r="Q167" s="197"/>
      <x:c r="R167" s="197"/>
    </x:row>
    <x:row r="168">
      <x:c r="A168" s="197"/>
      <x:c r="B168" s="197"/>
      <x:c r="C168" s="197"/>
      <x:c r="D168" s="197"/>
      <x:c r="E168" s="197"/>
      <x:c r="F168" s="197"/>
      <x:c r="G168" s="197"/>
      <x:c r="H168" s="197"/>
      <x:c r="I168" s="197"/>
      <x:c r="J168" s="197"/>
      <x:c r="K168" s="197"/>
      <x:c r="L168" s="197"/>
      <x:c r="M168" s="197"/>
      <x:c r="N168" s="198" t="n">
        <x:f>IF(M168&lt;&gt;"",M168,IF(AND(K168&lt;&gt;"",L168&lt;&gt;""),K168*L168/60,0))</x:f>
        <x:v>0</x:v>
      </x:c>
      <x:c r="O168" s="198" t="n">
        <x:f>IF(E168="Fabio",Impostazioni!$B$4,IF(E168="Frego",Impostazioni!$B$5,IF(E168="Jessica",Impostazioni!$B$6,0)))</x:f>
        <x:v>0</x:v>
      </x:c>
      <x:c r="P168" s="198" t="n">
        <x:f>N168*O168</x:f>
        <x:v>0</x:v>
      </x:c>
      <x:c r="Q168" s="197"/>
      <x:c r="R168" s="197"/>
    </x:row>
    <x:row r="169">
      <x:c r="A169" s="197"/>
      <x:c r="B169" s="197"/>
      <x:c r="C169" s="197"/>
      <x:c r="D169" s="197"/>
      <x:c r="E169" s="197"/>
      <x:c r="F169" s="197"/>
      <x:c r="G169" s="197"/>
      <x:c r="H169" s="197"/>
      <x:c r="I169" s="197"/>
      <x:c r="J169" s="197"/>
      <x:c r="K169" s="197"/>
      <x:c r="L169" s="197"/>
      <x:c r="M169" s="197"/>
      <x:c r="N169" s="198" t="n">
        <x:f>IF(M169&lt;&gt;"",M169,IF(AND(K169&lt;&gt;"",L169&lt;&gt;""),K169*L169/60,0))</x:f>
        <x:v>0</x:v>
      </x:c>
      <x:c r="O169" s="198" t="n">
        <x:f>IF(E169="Fabio",Impostazioni!$B$4,IF(E169="Frego",Impostazioni!$B$5,IF(E169="Jessica",Impostazioni!$B$6,0)))</x:f>
        <x:v>0</x:v>
      </x:c>
      <x:c r="P169" s="198" t="n">
        <x:f>N169*O169</x:f>
        <x:v>0</x:v>
      </x:c>
      <x:c r="Q169" s="197"/>
      <x:c r="R169" s="197"/>
    </x:row>
    <x:row r="170">
      <x:c r="A170" s="197"/>
      <x:c r="B170" s="197"/>
      <x:c r="C170" s="197"/>
      <x:c r="D170" s="197"/>
      <x:c r="E170" s="197"/>
      <x:c r="F170" s="197"/>
      <x:c r="G170" s="197"/>
      <x:c r="H170" s="197"/>
      <x:c r="I170" s="197"/>
      <x:c r="J170" s="197"/>
      <x:c r="K170" s="197"/>
      <x:c r="L170" s="197"/>
      <x:c r="M170" s="197"/>
      <x:c r="N170" s="198" t="n">
        <x:f>IF(M170&lt;&gt;"",M170,IF(AND(K170&lt;&gt;"",L170&lt;&gt;""),K170*L170/60,0))</x:f>
        <x:v>0</x:v>
      </x:c>
      <x:c r="O170" s="198" t="n">
        <x:f>IF(E170="Fabio",Impostazioni!$B$4,IF(E170="Frego",Impostazioni!$B$5,IF(E170="Jessica",Impostazioni!$B$6,0)))</x:f>
        <x:v>0</x:v>
      </x:c>
      <x:c r="P170" s="198" t="n">
        <x:f>N170*O170</x:f>
        <x:v>0</x:v>
      </x:c>
      <x:c r="Q170" s="197"/>
      <x:c r="R170" s="197"/>
    </x:row>
    <x:row r="171">
      <x:c r="A171" s="197"/>
      <x:c r="B171" s="197"/>
      <x:c r="C171" s="197"/>
      <x:c r="D171" s="197"/>
      <x:c r="E171" s="197"/>
      <x:c r="F171" s="197"/>
      <x:c r="G171" s="197"/>
      <x:c r="H171" s="197"/>
      <x:c r="I171" s="197"/>
      <x:c r="J171" s="197"/>
      <x:c r="K171" s="197"/>
      <x:c r="L171" s="197"/>
      <x:c r="M171" s="197"/>
      <x:c r="N171" s="198" t="n">
        <x:f>IF(M171&lt;&gt;"",M171,IF(AND(K171&lt;&gt;"",L171&lt;&gt;""),K171*L171/60,0))</x:f>
        <x:v>0</x:v>
      </x:c>
      <x:c r="O171" s="198" t="n">
        <x:f>IF(E171="Fabio",Impostazioni!$B$4,IF(E171="Frego",Impostazioni!$B$5,IF(E171="Jessica",Impostazioni!$B$6,0)))</x:f>
        <x:v>0</x:v>
      </x:c>
      <x:c r="P171" s="198" t="n">
        <x:f>N171*O171</x:f>
        <x:v>0</x:v>
      </x:c>
      <x:c r="Q171" s="197"/>
      <x:c r="R171" s="197"/>
    </x:row>
    <x:row r="172">
      <x:c r="A172" s="197"/>
      <x:c r="B172" s="197"/>
      <x:c r="C172" s="197"/>
      <x:c r="D172" s="197"/>
      <x:c r="E172" s="197"/>
      <x:c r="F172" s="197"/>
      <x:c r="G172" s="197"/>
      <x:c r="H172" s="197"/>
      <x:c r="I172" s="197"/>
      <x:c r="J172" s="197"/>
      <x:c r="K172" s="197"/>
      <x:c r="L172" s="197"/>
      <x:c r="M172" s="197"/>
      <x:c r="N172" s="198" t="n">
        <x:f>IF(M172&lt;&gt;"",M172,IF(AND(K172&lt;&gt;"",L172&lt;&gt;""),K172*L172/60,0))</x:f>
        <x:v>0</x:v>
      </x:c>
      <x:c r="O172" s="198" t="n">
        <x:f>IF(E172="Fabio",Impostazioni!$B$4,IF(E172="Frego",Impostazioni!$B$5,IF(E172="Jessica",Impostazioni!$B$6,0)))</x:f>
        <x:v>0</x:v>
      </x:c>
      <x:c r="P172" s="198" t="n">
        <x:f>N172*O172</x:f>
        <x:v>0</x:v>
      </x:c>
      <x:c r="Q172" s="197"/>
      <x:c r="R172" s="197"/>
    </x:row>
    <x:row r="173">
      <x:c r="A173" s="197"/>
      <x:c r="B173" s="197"/>
      <x:c r="C173" s="197"/>
      <x:c r="D173" s="197"/>
      <x:c r="E173" s="197"/>
      <x:c r="F173" s="197"/>
      <x:c r="G173" s="197"/>
      <x:c r="H173" s="197"/>
      <x:c r="I173" s="197"/>
      <x:c r="J173" s="197"/>
      <x:c r="K173" s="197"/>
      <x:c r="L173" s="197"/>
      <x:c r="M173" s="197"/>
      <x:c r="N173" s="198" t="n">
        <x:f>IF(M173&lt;&gt;"",M173,IF(AND(K173&lt;&gt;"",L173&lt;&gt;""),K173*L173/60,0))</x:f>
        <x:v>0</x:v>
      </x:c>
      <x:c r="O173" s="198" t="n">
        <x:f>IF(E173="Fabio",Impostazioni!$B$4,IF(E173="Frego",Impostazioni!$B$5,IF(E173="Jessica",Impostazioni!$B$6,0)))</x:f>
        <x:v>0</x:v>
      </x:c>
      <x:c r="P173" s="198" t="n">
        <x:f>N173*O173</x:f>
        <x:v>0</x:v>
      </x:c>
      <x:c r="Q173" s="197"/>
      <x:c r="R173" s="197"/>
    </x:row>
    <x:row r="174">
      <x:c r="A174" s="197"/>
      <x:c r="B174" s="197"/>
      <x:c r="C174" s="197"/>
      <x:c r="D174" s="197"/>
      <x:c r="E174" s="197"/>
      <x:c r="F174" s="197"/>
      <x:c r="G174" s="197"/>
      <x:c r="H174" s="197"/>
      <x:c r="I174" s="197"/>
      <x:c r="J174" s="197"/>
      <x:c r="K174" s="197"/>
      <x:c r="L174" s="197"/>
      <x:c r="M174" s="197"/>
      <x:c r="N174" s="198" t="n">
        <x:f>IF(M174&lt;&gt;"",M174,IF(AND(K174&lt;&gt;"",L174&lt;&gt;""),K174*L174/60,0))</x:f>
        <x:v>0</x:v>
      </x:c>
      <x:c r="O174" s="198" t="n">
        <x:f>IF(E174="Fabio",Impostazioni!$B$4,IF(E174="Frego",Impostazioni!$B$5,IF(E174="Jessica",Impostazioni!$B$6,0)))</x:f>
        <x:v>0</x:v>
      </x:c>
      <x:c r="P174" s="198" t="n">
        <x:f>N174*O174</x:f>
        <x:v>0</x:v>
      </x:c>
      <x:c r="Q174" s="197"/>
      <x:c r="R174" s="197"/>
    </x:row>
    <x:row r="175">
      <x:c r="A175" s="197"/>
      <x:c r="B175" s="197"/>
      <x:c r="C175" s="197"/>
      <x:c r="D175" s="197"/>
      <x:c r="E175" s="197"/>
      <x:c r="F175" s="197"/>
      <x:c r="G175" s="197"/>
      <x:c r="H175" s="197"/>
      <x:c r="I175" s="197"/>
      <x:c r="J175" s="197"/>
      <x:c r="K175" s="197"/>
      <x:c r="L175" s="197"/>
      <x:c r="M175" s="197"/>
      <x:c r="N175" s="198" t="n">
        <x:f>IF(M175&lt;&gt;"",M175,IF(AND(K175&lt;&gt;"",L175&lt;&gt;""),K175*L175/60,0))</x:f>
        <x:v>0</x:v>
      </x:c>
      <x:c r="O175" s="198" t="n">
        <x:f>IF(E175="Fabio",Impostazioni!$B$4,IF(E175="Frego",Impostazioni!$B$5,IF(E175="Jessica",Impostazioni!$B$6,0)))</x:f>
        <x:v>0</x:v>
      </x:c>
      <x:c r="P175" s="198" t="n">
        <x:f>N175*O175</x:f>
        <x:v>0</x:v>
      </x:c>
      <x:c r="Q175" s="197"/>
      <x:c r="R175" s="197"/>
    </x:row>
    <x:row r="176">
      <x:c r="A176" s="197"/>
      <x:c r="B176" s="197"/>
      <x:c r="C176" s="197"/>
      <x:c r="D176" s="197"/>
      <x:c r="E176" s="197"/>
      <x:c r="F176" s="197"/>
      <x:c r="G176" s="197"/>
      <x:c r="H176" s="197"/>
      <x:c r="I176" s="197"/>
      <x:c r="J176" s="197"/>
      <x:c r="K176" s="197"/>
      <x:c r="L176" s="197"/>
      <x:c r="M176" s="197"/>
      <x:c r="N176" s="198" t="n">
        <x:f>IF(M176&lt;&gt;"",M176,IF(AND(K176&lt;&gt;"",L176&lt;&gt;""),K176*L176/60,0))</x:f>
        <x:v>0</x:v>
      </x:c>
      <x:c r="O176" s="198" t="n">
        <x:f>IF(E176="Fabio",Impostazioni!$B$4,IF(E176="Frego",Impostazioni!$B$5,IF(E176="Jessica",Impostazioni!$B$6,0)))</x:f>
        <x:v>0</x:v>
      </x:c>
      <x:c r="P176" s="198" t="n">
        <x:f>N176*O176</x:f>
        <x:v>0</x:v>
      </x:c>
      <x:c r="Q176" s="197"/>
      <x:c r="R176" s="197"/>
    </x:row>
    <x:row r="177">
      <x:c r="A177" s="197"/>
      <x:c r="B177" s="197"/>
      <x:c r="C177" s="197"/>
      <x:c r="D177" s="197"/>
      <x:c r="E177" s="197"/>
      <x:c r="F177" s="197"/>
      <x:c r="G177" s="197"/>
      <x:c r="H177" s="197"/>
      <x:c r="I177" s="197"/>
      <x:c r="J177" s="197"/>
      <x:c r="K177" s="197"/>
      <x:c r="L177" s="197"/>
      <x:c r="M177" s="197"/>
      <x:c r="N177" s="198" t="n">
        <x:f>IF(M177&lt;&gt;"",M177,IF(AND(K177&lt;&gt;"",L177&lt;&gt;""),K177*L177/60,0))</x:f>
        <x:v>0</x:v>
      </x:c>
      <x:c r="O177" s="198" t="n">
        <x:f>IF(E177="Fabio",Impostazioni!$B$4,IF(E177="Frego",Impostazioni!$B$5,IF(E177="Jessica",Impostazioni!$B$6,0)))</x:f>
        <x:v>0</x:v>
      </x:c>
      <x:c r="P177" s="198" t="n">
        <x:f>N177*O177</x:f>
        <x:v>0</x:v>
      </x:c>
      <x:c r="Q177" s="197"/>
      <x:c r="R177" s="197"/>
    </x:row>
    <x:row r="178">
      <x:c r="A178" s="197"/>
      <x:c r="B178" s="197"/>
      <x:c r="C178" s="197"/>
      <x:c r="D178" s="197"/>
      <x:c r="E178" s="197"/>
      <x:c r="F178" s="197"/>
      <x:c r="G178" s="197"/>
      <x:c r="H178" s="197"/>
      <x:c r="I178" s="197"/>
      <x:c r="J178" s="197"/>
      <x:c r="K178" s="197"/>
      <x:c r="L178" s="197"/>
      <x:c r="M178" s="197"/>
      <x:c r="N178" s="198" t="n">
        <x:f>IF(M178&lt;&gt;"",M178,IF(AND(K178&lt;&gt;"",L178&lt;&gt;""),K178*L178/60,0))</x:f>
        <x:v>0</x:v>
      </x:c>
      <x:c r="O178" s="198" t="n">
        <x:f>IF(E178="Fabio",Impostazioni!$B$4,IF(E178="Frego",Impostazioni!$B$5,IF(E178="Jessica",Impostazioni!$B$6,0)))</x:f>
        <x:v>0</x:v>
      </x:c>
      <x:c r="P178" s="198" t="n">
        <x:f>N178*O178</x:f>
        <x:v>0</x:v>
      </x:c>
      <x:c r="Q178" s="197"/>
      <x:c r="R178" s="197"/>
    </x:row>
    <x:row r="179">
      <x:c r="A179" s="197"/>
      <x:c r="B179" s="197"/>
      <x:c r="C179" s="197"/>
      <x:c r="D179" s="197"/>
      <x:c r="E179" s="197"/>
      <x:c r="F179" s="197"/>
      <x:c r="G179" s="197"/>
      <x:c r="H179" s="197"/>
      <x:c r="I179" s="197"/>
      <x:c r="J179" s="197"/>
      <x:c r="K179" s="197"/>
      <x:c r="L179" s="197"/>
      <x:c r="M179" s="197"/>
      <x:c r="N179" s="198" t="n">
        <x:f>IF(M179&lt;&gt;"",M179,IF(AND(K179&lt;&gt;"",L179&lt;&gt;""),K179*L179/60,0))</x:f>
        <x:v>0</x:v>
      </x:c>
      <x:c r="O179" s="198" t="n">
        <x:f>IF(E179="Fabio",Impostazioni!$B$4,IF(E179="Frego",Impostazioni!$B$5,IF(E179="Jessica",Impostazioni!$B$6,0)))</x:f>
        <x:v>0</x:v>
      </x:c>
      <x:c r="P179" s="198" t="n">
        <x:f>N179*O179</x:f>
        <x:v>0</x:v>
      </x:c>
      <x:c r="Q179" s="197"/>
      <x:c r="R179" s="197"/>
    </x:row>
    <x:row r="180">
      <x:c r="A180" s="197"/>
      <x:c r="B180" s="197"/>
      <x:c r="C180" s="197"/>
      <x:c r="D180" s="197"/>
      <x:c r="E180" s="197"/>
      <x:c r="F180" s="197"/>
      <x:c r="G180" s="197"/>
      <x:c r="H180" s="197"/>
      <x:c r="I180" s="197"/>
      <x:c r="J180" s="197"/>
      <x:c r="K180" s="197"/>
      <x:c r="L180" s="197"/>
      <x:c r="M180" s="197"/>
      <x:c r="N180" s="198" t="n">
        <x:f>IF(M180&lt;&gt;"",M180,IF(AND(K180&lt;&gt;"",L180&lt;&gt;""),K180*L180/60,0))</x:f>
        <x:v>0</x:v>
      </x:c>
      <x:c r="O180" s="198" t="n">
        <x:f>IF(E180="Fabio",Impostazioni!$B$4,IF(E180="Frego",Impostazioni!$B$5,IF(E180="Jessica",Impostazioni!$B$6,0)))</x:f>
        <x:v>0</x:v>
      </x:c>
      <x:c r="P180" s="198" t="n">
        <x:f>N180*O180</x:f>
        <x:v>0</x:v>
      </x:c>
      <x:c r="Q180" s="197"/>
      <x:c r="R180" s="197"/>
    </x:row>
    <x:row r="181">
      <x:c r="A181" s="197"/>
      <x:c r="B181" s="197"/>
      <x:c r="C181" s="197"/>
      <x:c r="D181" s="197"/>
      <x:c r="E181" s="197"/>
      <x:c r="F181" s="197"/>
      <x:c r="G181" s="197"/>
      <x:c r="H181" s="197"/>
      <x:c r="I181" s="197"/>
      <x:c r="J181" s="197"/>
      <x:c r="K181" s="197"/>
      <x:c r="L181" s="197"/>
      <x:c r="M181" s="197"/>
      <x:c r="N181" s="198" t="n">
        <x:f>IF(M181&lt;&gt;"",M181,IF(AND(K181&lt;&gt;"",L181&lt;&gt;""),K181*L181/60,0))</x:f>
        <x:v>0</x:v>
      </x:c>
      <x:c r="O181" s="198" t="n">
        <x:f>IF(E181="Fabio",Impostazioni!$B$4,IF(E181="Frego",Impostazioni!$B$5,IF(E181="Jessica",Impostazioni!$B$6,0)))</x:f>
        <x:v>0</x:v>
      </x:c>
      <x:c r="P181" s="198" t="n">
        <x:f>N181*O181</x:f>
        <x:v>0</x:v>
      </x:c>
      <x:c r="Q181" s="197"/>
      <x:c r="R181" s="197"/>
    </x:row>
    <x:row r="182">
      <x:c r="A182" s="197"/>
      <x:c r="B182" s="197"/>
      <x:c r="C182" s="197"/>
      <x:c r="D182" s="197"/>
      <x:c r="E182" s="197"/>
      <x:c r="F182" s="197"/>
      <x:c r="G182" s="197"/>
      <x:c r="H182" s="197"/>
      <x:c r="I182" s="197"/>
      <x:c r="J182" s="197"/>
      <x:c r="K182" s="197"/>
      <x:c r="L182" s="197"/>
      <x:c r="M182" s="197"/>
      <x:c r="N182" s="198" t="n">
        <x:f>IF(M182&lt;&gt;"",M182,IF(AND(K182&lt;&gt;"",L182&lt;&gt;""),K182*L182/60,0))</x:f>
        <x:v>0</x:v>
      </x:c>
      <x:c r="O182" s="198" t="n">
        <x:f>IF(E182="Fabio",Impostazioni!$B$4,IF(E182="Frego",Impostazioni!$B$5,IF(E182="Jessica",Impostazioni!$B$6,0)))</x:f>
        <x:v>0</x:v>
      </x:c>
      <x:c r="P182" s="198" t="n">
        <x:f>N182*O182</x:f>
        <x:v>0</x:v>
      </x:c>
      <x:c r="Q182" s="197"/>
      <x:c r="R182" s="197"/>
    </x:row>
    <x:row r="183">
      <x:c r="A183" s="197"/>
      <x:c r="B183" s="197"/>
      <x:c r="C183" s="197"/>
      <x:c r="D183" s="197"/>
      <x:c r="E183" s="197"/>
      <x:c r="F183" s="197"/>
      <x:c r="G183" s="197"/>
      <x:c r="H183" s="197"/>
      <x:c r="I183" s="197"/>
      <x:c r="J183" s="197"/>
      <x:c r="K183" s="197"/>
      <x:c r="L183" s="197"/>
      <x:c r="M183" s="197"/>
      <x:c r="N183" s="198" t="n">
        <x:f>IF(M183&lt;&gt;"",M183,IF(AND(K183&lt;&gt;"",L183&lt;&gt;""),K183*L183/60,0))</x:f>
        <x:v>0</x:v>
      </x:c>
      <x:c r="O183" s="198" t="n">
        <x:f>IF(E183="Fabio",Impostazioni!$B$4,IF(E183="Frego",Impostazioni!$B$5,IF(E183="Jessica",Impostazioni!$B$6,0)))</x:f>
        <x:v>0</x:v>
      </x:c>
      <x:c r="P183" s="198" t="n">
        <x:f>N183*O183</x:f>
        <x:v>0</x:v>
      </x:c>
      <x:c r="Q183" s="197"/>
      <x:c r="R183" s="197"/>
    </x:row>
    <x:row r="184">
      <x:c r="A184" s="197"/>
      <x:c r="B184" s="197"/>
      <x:c r="C184" s="197"/>
      <x:c r="D184" s="197"/>
      <x:c r="E184" s="197"/>
      <x:c r="F184" s="197"/>
      <x:c r="G184" s="197"/>
      <x:c r="H184" s="197"/>
      <x:c r="I184" s="197"/>
      <x:c r="J184" s="197"/>
      <x:c r="K184" s="197"/>
      <x:c r="L184" s="197"/>
      <x:c r="M184" s="197"/>
      <x:c r="N184" s="198" t="n">
        <x:f>IF(M184&lt;&gt;"",M184,IF(AND(K184&lt;&gt;"",L184&lt;&gt;""),K184*L184/60,0))</x:f>
        <x:v>0</x:v>
      </x:c>
      <x:c r="O184" s="198" t="n">
        <x:f>IF(E184="Fabio",Impostazioni!$B$4,IF(E184="Frego",Impostazioni!$B$5,IF(E184="Jessica",Impostazioni!$B$6,0)))</x:f>
        <x:v>0</x:v>
      </x:c>
      <x:c r="P184" s="198" t="n">
        <x:f>N184*O184</x:f>
        <x:v>0</x:v>
      </x:c>
      <x:c r="Q184" s="197"/>
      <x:c r="R184" s="197"/>
    </x:row>
    <x:row r="185">
      <x:c r="A185" s="197"/>
      <x:c r="B185" s="197"/>
      <x:c r="C185" s="197"/>
      <x:c r="D185" s="197"/>
      <x:c r="E185" s="197"/>
      <x:c r="F185" s="197"/>
      <x:c r="G185" s="197"/>
      <x:c r="H185" s="197"/>
      <x:c r="I185" s="197"/>
      <x:c r="J185" s="197"/>
      <x:c r="K185" s="197"/>
      <x:c r="L185" s="197"/>
      <x:c r="M185" s="197"/>
      <x:c r="N185" s="198" t="n">
        <x:f>IF(M185&lt;&gt;"",M185,IF(AND(K185&lt;&gt;"",L185&lt;&gt;""),K185*L185/60,0))</x:f>
        <x:v>0</x:v>
      </x:c>
      <x:c r="O185" s="198" t="n">
        <x:f>IF(E185="Fabio",Impostazioni!$B$4,IF(E185="Frego",Impostazioni!$B$5,IF(E185="Jessica",Impostazioni!$B$6,0)))</x:f>
        <x:v>0</x:v>
      </x:c>
      <x:c r="P185" s="198" t="n">
        <x:f>N185*O185</x:f>
        <x:v>0</x:v>
      </x:c>
      <x:c r="Q185" s="197"/>
      <x:c r="R185" s="197"/>
    </x:row>
    <x:row r="186">
      <x:c r="A186" s="197"/>
      <x:c r="B186" s="197"/>
      <x:c r="C186" s="197"/>
      <x:c r="D186" s="197"/>
      <x:c r="E186" s="197"/>
      <x:c r="F186" s="197"/>
      <x:c r="G186" s="197"/>
      <x:c r="H186" s="197"/>
      <x:c r="I186" s="197"/>
      <x:c r="J186" s="197"/>
      <x:c r="K186" s="197"/>
      <x:c r="L186" s="197"/>
      <x:c r="M186" s="197"/>
      <x:c r="N186" s="198" t="n">
        <x:f>IF(M186&lt;&gt;"",M186,IF(AND(K186&lt;&gt;"",L186&lt;&gt;""),K186*L186/60,0))</x:f>
        <x:v>0</x:v>
      </x:c>
      <x:c r="O186" s="198" t="n">
        <x:f>IF(E186="Fabio",Impostazioni!$B$4,IF(E186="Frego",Impostazioni!$B$5,IF(E186="Jessica",Impostazioni!$B$6,0)))</x:f>
        <x:v>0</x:v>
      </x:c>
      <x:c r="P186" s="198" t="n">
        <x:f>N186*O186</x:f>
        <x:v>0</x:v>
      </x:c>
      <x:c r="Q186" s="197"/>
      <x:c r="R186" s="197"/>
    </x:row>
    <x:row r="187">
      <x:c r="A187" s="197"/>
      <x:c r="B187" s="197"/>
      <x:c r="C187" s="197"/>
      <x:c r="D187" s="197"/>
      <x:c r="E187" s="197"/>
      <x:c r="F187" s="197"/>
      <x:c r="G187" s="197"/>
      <x:c r="H187" s="197"/>
      <x:c r="I187" s="197"/>
      <x:c r="J187" s="197"/>
      <x:c r="K187" s="197"/>
      <x:c r="L187" s="197"/>
      <x:c r="M187" s="197"/>
      <x:c r="N187" s="198" t="n">
        <x:f>IF(M187&lt;&gt;"",M187,IF(AND(K187&lt;&gt;"",L187&lt;&gt;""),K187*L187/60,0))</x:f>
        <x:v>0</x:v>
      </x:c>
      <x:c r="O187" s="198" t="n">
        <x:f>IF(E187="Fabio",Impostazioni!$B$4,IF(E187="Frego",Impostazioni!$B$5,IF(E187="Jessica",Impostazioni!$B$6,0)))</x:f>
        <x:v>0</x:v>
      </x:c>
      <x:c r="P187" s="198" t="n">
        <x:f>N187*O187</x:f>
        <x:v>0</x:v>
      </x:c>
      <x:c r="Q187" s="197"/>
      <x:c r="R187" s="197"/>
    </x:row>
    <x:row r="188">
      <x:c r="A188" s="197"/>
      <x:c r="B188" s="197"/>
      <x:c r="C188" s="197"/>
      <x:c r="D188" s="197"/>
      <x:c r="E188" s="197"/>
      <x:c r="F188" s="197"/>
      <x:c r="G188" s="197"/>
      <x:c r="H188" s="197"/>
      <x:c r="I188" s="197"/>
      <x:c r="J188" s="197"/>
      <x:c r="K188" s="197"/>
      <x:c r="L188" s="197"/>
      <x:c r="M188" s="197"/>
      <x:c r="N188" s="198" t="n">
        <x:f>IF(M188&lt;&gt;"",M188,IF(AND(K188&lt;&gt;"",L188&lt;&gt;""),K188*L188/60,0))</x:f>
        <x:v>0</x:v>
      </x:c>
      <x:c r="O188" s="198" t="n">
        <x:f>IF(E188="Fabio",Impostazioni!$B$4,IF(E188="Frego",Impostazioni!$B$5,IF(E188="Jessica",Impostazioni!$B$6,0)))</x:f>
        <x:v>0</x:v>
      </x:c>
      <x:c r="P188" s="198" t="n">
        <x:f>N188*O188</x:f>
        <x:v>0</x:v>
      </x:c>
      <x:c r="Q188" s="197"/>
      <x:c r="R188" s="197"/>
    </x:row>
    <x:row r="189">
      <x:c r="A189" s="197"/>
      <x:c r="B189" s="197"/>
      <x:c r="C189" s="197"/>
      <x:c r="D189" s="197"/>
      <x:c r="E189" s="197"/>
      <x:c r="F189" s="197"/>
      <x:c r="G189" s="197"/>
      <x:c r="H189" s="197"/>
      <x:c r="I189" s="197"/>
      <x:c r="J189" s="197"/>
      <x:c r="K189" s="197"/>
      <x:c r="L189" s="197"/>
      <x:c r="M189" s="197"/>
      <x:c r="N189" s="198" t="n">
        <x:f>IF(M189&lt;&gt;"",M189,IF(AND(K189&lt;&gt;"",L189&lt;&gt;""),K189*L189/60,0))</x:f>
        <x:v>0</x:v>
      </x:c>
      <x:c r="O189" s="198" t="n">
        <x:f>IF(E189="Fabio",Impostazioni!$B$4,IF(E189="Frego",Impostazioni!$B$5,IF(E189="Jessica",Impostazioni!$B$6,0)))</x:f>
        <x:v>0</x:v>
      </x:c>
      <x:c r="P189" s="198" t="n">
        <x:f>N189*O189</x:f>
        <x:v>0</x:v>
      </x:c>
      <x:c r="Q189" s="197"/>
      <x:c r="R189" s="197"/>
    </x:row>
    <x:row r="190">
      <x:c r="A190" s="197"/>
      <x:c r="B190" s="197"/>
      <x:c r="C190" s="197"/>
      <x:c r="D190" s="197"/>
      <x:c r="E190" s="197"/>
      <x:c r="F190" s="197"/>
      <x:c r="G190" s="197"/>
      <x:c r="H190" s="197"/>
      <x:c r="I190" s="197"/>
      <x:c r="J190" s="197"/>
      <x:c r="K190" s="197"/>
      <x:c r="L190" s="197"/>
      <x:c r="M190" s="197"/>
      <x:c r="N190" s="198" t="n">
        <x:f>IF(M190&lt;&gt;"",M190,IF(AND(K190&lt;&gt;"",L190&lt;&gt;""),K190*L190/60,0))</x:f>
        <x:v>0</x:v>
      </x:c>
      <x:c r="O190" s="198" t="n">
        <x:f>IF(E190="Fabio",Impostazioni!$B$4,IF(E190="Frego",Impostazioni!$B$5,IF(E190="Jessica",Impostazioni!$B$6,0)))</x:f>
        <x:v>0</x:v>
      </x:c>
      <x:c r="P190" s="198" t="n">
        <x:f>N190*O190</x:f>
        <x:v>0</x:v>
      </x:c>
      <x:c r="Q190" s="197"/>
      <x:c r="R190" s="197"/>
    </x:row>
    <x:row r="191">
      <x:c r="A191" s="197"/>
      <x:c r="B191" s="197"/>
      <x:c r="C191" s="197"/>
      <x:c r="D191" s="197"/>
      <x:c r="E191" s="197"/>
      <x:c r="F191" s="197"/>
      <x:c r="G191" s="197"/>
      <x:c r="H191" s="197"/>
      <x:c r="I191" s="197"/>
      <x:c r="J191" s="197"/>
      <x:c r="K191" s="197"/>
      <x:c r="L191" s="197"/>
      <x:c r="M191" s="197"/>
      <x:c r="N191" s="198" t="n">
        <x:f>IF(M191&lt;&gt;"",M191,IF(AND(K191&lt;&gt;"",L191&lt;&gt;""),K191*L191/60,0))</x:f>
        <x:v>0</x:v>
      </x:c>
      <x:c r="O191" s="198" t="n">
        <x:f>IF(E191="Fabio",Impostazioni!$B$4,IF(E191="Frego",Impostazioni!$B$5,IF(E191="Jessica",Impostazioni!$B$6,0)))</x:f>
        <x:v>0</x:v>
      </x:c>
      <x:c r="P191" s="198" t="n">
        <x:f>N191*O191</x:f>
        <x:v>0</x:v>
      </x:c>
      <x:c r="Q191" s="197"/>
      <x:c r="R191" s="197"/>
    </x:row>
    <x:row r="192">
      <x:c r="A192" s="197"/>
      <x:c r="B192" s="197"/>
      <x:c r="C192" s="197"/>
      <x:c r="D192" s="197"/>
      <x:c r="E192" s="197"/>
      <x:c r="F192" s="197"/>
      <x:c r="G192" s="197"/>
      <x:c r="H192" s="197"/>
      <x:c r="I192" s="197"/>
      <x:c r="J192" s="197"/>
      <x:c r="K192" s="197"/>
      <x:c r="L192" s="197"/>
      <x:c r="M192" s="197"/>
      <x:c r="N192" s="198" t="n">
        <x:f>IF(M192&lt;&gt;"",M192,IF(AND(K192&lt;&gt;"",L192&lt;&gt;""),K192*L192/60,0))</x:f>
        <x:v>0</x:v>
      </x:c>
      <x:c r="O192" s="198" t="n">
        <x:f>IF(E192="Fabio",Impostazioni!$B$4,IF(E192="Frego",Impostazioni!$B$5,IF(E192="Jessica",Impostazioni!$B$6,0)))</x:f>
        <x:v>0</x:v>
      </x:c>
      <x:c r="P192" s="198" t="n">
        <x:f>N192*O192</x:f>
        <x:v>0</x:v>
      </x:c>
      <x:c r="Q192" s="197"/>
      <x:c r="R192" s="197"/>
    </x:row>
    <x:row r="193">
      <x:c r="A193" s="197"/>
      <x:c r="B193" s="197"/>
      <x:c r="C193" s="197"/>
      <x:c r="D193" s="197"/>
      <x:c r="E193" s="197"/>
      <x:c r="F193" s="197"/>
      <x:c r="G193" s="197"/>
      <x:c r="H193" s="197"/>
      <x:c r="I193" s="197"/>
      <x:c r="J193" s="197"/>
      <x:c r="K193" s="197"/>
      <x:c r="L193" s="197"/>
      <x:c r="M193" s="197"/>
      <x:c r="N193" s="198" t="n">
        <x:f>IF(M193&lt;&gt;"",M193,IF(AND(K193&lt;&gt;"",L193&lt;&gt;""),K193*L193/60,0))</x:f>
        <x:v>0</x:v>
      </x:c>
      <x:c r="O193" s="198" t="n">
        <x:f>IF(E193="Fabio",Impostazioni!$B$4,IF(E193="Frego",Impostazioni!$B$5,IF(E193="Jessica",Impostazioni!$B$6,0)))</x:f>
        <x:v>0</x:v>
      </x:c>
      <x:c r="P193" s="198" t="n">
        <x:f>N193*O193</x:f>
        <x:v>0</x:v>
      </x:c>
      <x:c r="Q193" s="197"/>
      <x:c r="R193" s="197"/>
    </x:row>
    <x:row r="194">
      <x:c r="A194" s="197"/>
      <x:c r="B194" s="197"/>
      <x:c r="C194" s="197"/>
      <x:c r="D194" s="197"/>
      <x:c r="E194" s="197"/>
      <x:c r="F194" s="197"/>
      <x:c r="G194" s="197"/>
      <x:c r="H194" s="197"/>
      <x:c r="I194" s="197"/>
      <x:c r="J194" s="197"/>
      <x:c r="K194" s="197"/>
      <x:c r="L194" s="197"/>
      <x:c r="M194" s="197"/>
      <x:c r="N194" s="198" t="n">
        <x:f>IF(M194&lt;&gt;"",M194,IF(AND(K194&lt;&gt;"",L194&lt;&gt;""),K194*L194/60,0))</x:f>
        <x:v>0</x:v>
      </x:c>
      <x:c r="O194" s="198" t="n">
        <x:f>IF(E194="Fabio",Impostazioni!$B$4,IF(E194="Frego",Impostazioni!$B$5,IF(E194="Jessica",Impostazioni!$B$6,0)))</x:f>
        <x:v>0</x:v>
      </x:c>
      <x:c r="P194" s="198" t="n">
        <x:f>N194*O194</x:f>
        <x:v>0</x:v>
      </x:c>
      <x:c r="Q194" s="197"/>
      <x:c r="R194" s="197"/>
    </x:row>
    <x:row r="195">
      <x:c r="A195" s="197"/>
      <x:c r="B195" s="197"/>
      <x:c r="C195" s="197"/>
      <x:c r="D195" s="197"/>
      <x:c r="E195" s="197"/>
      <x:c r="F195" s="197"/>
      <x:c r="G195" s="197"/>
      <x:c r="H195" s="197"/>
      <x:c r="I195" s="197"/>
      <x:c r="J195" s="197"/>
      <x:c r="K195" s="197"/>
      <x:c r="L195" s="197"/>
      <x:c r="M195" s="197"/>
      <x:c r="N195" s="198" t="n">
        <x:f>IF(M195&lt;&gt;"",M195,IF(AND(K195&lt;&gt;"",L195&lt;&gt;""),K195*L195/60,0))</x:f>
        <x:v>0</x:v>
      </x:c>
      <x:c r="O195" s="198" t="n">
        <x:f>IF(E195="Fabio",Impostazioni!$B$4,IF(E195="Frego",Impostazioni!$B$5,IF(E195="Jessica",Impostazioni!$B$6,0)))</x:f>
        <x:v>0</x:v>
      </x:c>
      <x:c r="P195" s="198" t="n">
        <x:f>N195*O195</x:f>
        <x:v>0</x:v>
      </x:c>
      <x:c r="Q195" s="197"/>
      <x:c r="R195" s="197"/>
    </x:row>
    <x:row r="196">
      <x:c r="A196" s="197"/>
      <x:c r="B196" s="197"/>
      <x:c r="C196" s="197"/>
      <x:c r="D196" s="197"/>
      <x:c r="E196" s="197"/>
      <x:c r="F196" s="197"/>
      <x:c r="G196" s="197"/>
      <x:c r="H196" s="197"/>
      <x:c r="I196" s="197"/>
      <x:c r="J196" s="197"/>
      <x:c r="K196" s="197"/>
      <x:c r="L196" s="197"/>
      <x:c r="M196" s="197"/>
      <x:c r="N196" s="198" t="n">
        <x:f>IF(M196&lt;&gt;"",M196,IF(AND(K196&lt;&gt;"",L196&lt;&gt;""),K196*L196/60,0))</x:f>
        <x:v>0</x:v>
      </x:c>
      <x:c r="O196" s="198" t="n">
        <x:f>IF(E196="Fabio",Impostazioni!$B$4,IF(E196="Frego",Impostazioni!$B$5,IF(E196="Jessica",Impostazioni!$B$6,0)))</x:f>
        <x:v>0</x:v>
      </x:c>
      <x:c r="P196" s="198" t="n">
        <x:f>N196*O196</x:f>
        <x:v>0</x:v>
      </x:c>
      <x:c r="Q196" s="197"/>
      <x:c r="R196" s="197"/>
    </x:row>
    <x:row r="197">
      <x:c r="A197" s="197"/>
      <x:c r="B197" s="197"/>
      <x:c r="C197" s="197"/>
      <x:c r="D197" s="197"/>
      <x:c r="E197" s="197"/>
      <x:c r="F197" s="197"/>
      <x:c r="G197" s="197"/>
      <x:c r="H197" s="197"/>
      <x:c r="I197" s="197"/>
      <x:c r="J197" s="197"/>
      <x:c r="K197" s="197"/>
      <x:c r="L197" s="197"/>
      <x:c r="M197" s="197"/>
      <x:c r="N197" s="198" t="n">
        <x:f>IF(M197&lt;&gt;"",M197,IF(AND(K197&lt;&gt;"",L197&lt;&gt;""),K197*L197/60,0))</x:f>
        <x:v>0</x:v>
      </x:c>
      <x:c r="O197" s="198" t="n">
        <x:f>IF(E197="Fabio",Impostazioni!$B$4,IF(E197="Frego",Impostazioni!$B$5,IF(E197="Jessica",Impostazioni!$B$6,0)))</x:f>
        <x:v>0</x:v>
      </x:c>
      <x:c r="P197" s="198" t="n">
        <x:f>N197*O197</x:f>
        <x:v>0</x:v>
      </x:c>
      <x:c r="Q197" s="197"/>
      <x:c r="R197" s="197"/>
    </x:row>
    <x:row r="198">
      <x:c r="A198" s="197"/>
      <x:c r="B198" s="197"/>
      <x:c r="C198" s="197"/>
      <x:c r="D198" s="197"/>
      <x:c r="E198" s="197"/>
      <x:c r="F198" s="197"/>
      <x:c r="G198" s="197"/>
      <x:c r="H198" s="197"/>
      <x:c r="I198" s="197"/>
      <x:c r="J198" s="197"/>
      <x:c r="K198" s="197"/>
      <x:c r="L198" s="197"/>
      <x:c r="M198" s="197"/>
      <x:c r="N198" s="198" t="n">
        <x:f>IF(M198&lt;&gt;"",M198,IF(AND(K198&lt;&gt;"",L198&lt;&gt;""),K198*L198/60,0))</x:f>
        <x:v>0</x:v>
      </x:c>
      <x:c r="O198" s="198" t="n">
        <x:f>IF(E198="Fabio",Impostazioni!$B$4,IF(E198="Frego",Impostazioni!$B$5,IF(E198="Jessica",Impostazioni!$B$6,0)))</x:f>
        <x:v>0</x:v>
      </x:c>
      <x:c r="P198" s="198" t="n">
        <x:f>N198*O198</x:f>
        <x:v>0</x:v>
      </x:c>
      <x:c r="Q198" s="197"/>
      <x:c r="R198" s="197"/>
    </x:row>
    <x:row r="199">
      <x:c r="A199" s="197"/>
      <x:c r="B199" s="197"/>
      <x:c r="C199" s="197"/>
      <x:c r="D199" s="197"/>
      <x:c r="E199" s="197"/>
      <x:c r="F199" s="197"/>
      <x:c r="G199" s="197"/>
      <x:c r="H199" s="197"/>
      <x:c r="I199" s="197"/>
      <x:c r="J199" s="197"/>
      <x:c r="K199" s="197"/>
      <x:c r="L199" s="197"/>
      <x:c r="M199" s="197"/>
      <x:c r="N199" s="198" t="n">
        <x:f>IF(M199&lt;&gt;"",M199,IF(AND(K199&lt;&gt;"",L199&lt;&gt;""),K199*L199/60,0))</x:f>
        <x:v>0</x:v>
      </x:c>
      <x:c r="O199" s="198" t="n">
        <x:f>IF(E199="Fabio",Impostazioni!$B$4,IF(E199="Frego",Impostazioni!$B$5,IF(E199="Jessica",Impostazioni!$B$6,0)))</x:f>
        <x:v>0</x:v>
      </x:c>
      <x:c r="P199" s="198" t="n">
        <x:f>N199*O199</x:f>
        <x:v>0</x:v>
      </x:c>
      <x:c r="Q199" s="197"/>
      <x:c r="R199" s="197"/>
    </x:row>
    <x:row r="200">
      <x:c r="A200" s="197"/>
      <x:c r="B200" s="197"/>
      <x:c r="C200" s="197"/>
      <x:c r="D200" s="197"/>
      <x:c r="E200" s="197"/>
      <x:c r="F200" s="197"/>
      <x:c r="G200" s="197"/>
      <x:c r="H200" s="197"/>
      <x:c r="I200" s="197"/>
      <x:c r="J200" s="197"/>
      <x:c r="K200" s="197"/>
      <x:c r="L200" s="197"/>
      <x:c r="M200" s="197"/>
      <x:c r="N200" s="198" t="n">
        <x:f>IF(M200&lt;&gt;"",M200,IF(AND(K200&lt;&gt;"",L200&lt;&gt;""),K200*L200/60,0))</x:f>
        <x:v>0</x:v>
      </x:c>
      <x:c r="O200" s="198" t="n">
        <x:f>IF(E200="Fabio",Impostazioni!$B$4,IF(E200="Frego",Impostazioni!$B$5,IF(E200="Jessica",Impostazioni!$B$6,0)))</x:f>
        <x:v>0</x:v>
      </x:c>
      <x:c r="P200" s="198" t="n">
        <x:f>N200*O200</x:f>
        <x:v>0</x:v>
      </x:c>
      <x:c r="Q200" s="197"/>
      <x:c r="R200" s="197"/>
    </x:row>
  </x:sheetData>
  <x:mergeCells>
    <x:mergeCell ref="A1:R1"/>
  </x:mergeCells>
  <x:dataValidations count="7">
    <x:dataValidation type="list" sqref="J1">
      <x:formula1>Liste!$K$4:$K$10</x:formula1>
    </x:dataValidation>
    <x:dataValidation type="list" sqref="E1:F1">
      <x:formula1>Liste!$A$4:$A$9</x:formula1>
    </x:dataValidation>
    <x:dataValidation type="list" sqref="B1">
      <x:formula1>Liste!$B$4:$B$12</x:formula1>
    </x:dataValidation>
    <x:dataValidation type="list" sqref="C1">
      <x:formula1>Liste!$C$4:$C$19</x:formula1>
    </x:dataValidation>
    <x:dataValidation type="list" sqref="G1">
      <x:formula1>Liste!$D$4:$D$6</x:formula1>
    </x:dataValidation>
    <x:dataValidation type="list" sqref="H1">
      <x:formula1>Liste!$E$4:$E$7</x:formula1>
    </x:dataValidation>
    <x:dataValidation type="list" sqref="I1">
      <x:formula1>Liste!$F$4:$F$6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14ee770f87431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2" hidden="0" customWidth="1"/>
    <x:col min="4" max="4" width="18" hidden="0" customWidth="1"/>
    <x:col min="5" max="5" width="14" hidden="0" customWidth="1"/>
    <x:col min="6" max="6" width="12" hidden="0" customWidth="1"/>
    <x:col min="7" max="7" width="14" hidden="0" customWidth="1"/>
    <x:col min="8" max="8" width="18" hidden="0" customWidth="1"/>
    <x:col min="9" max="9" width="18" hidden="0" customWidth="1"/>
    <x:col min="10" max="10" width="44" hidden="0" customWidth="1"/>
  </x:cols>
  <x:sheetData>
    <x:row r="1" ht="28" customHeight="1">
      <x:c r="A1" s="158" t="str">
        <x:v>Costi &amp; Tool — diretti, condivisi, personali, infrastruttura</x:v>
      </x:c>
      <x:c r="B1" s="159"/>
      <x:c r="C1" s="159"/>
      <x:c r="D1" s="159"/>
      <x:c r="E1" s="159"/>
      <x:c r="F1" s="159"/>
      <x:c r="G1" s="159"/>
      <x:c r="H1" s="159"/>
      <x:c r="I1" s="159"/>
      <x:c r="J1" s="159"/>
      <x:c r="K1" s="159"/>
      <x:c r="L1" s="159"/>
      <x:c r="M1" s="159"/>
      <x:c r="N1" s="159"/>
      <x:c r="O1" s="159"/>
      <x:c r="P1" s="159"/>
      <x:c r="Q1" s="159"/>
      <x:c r="R1" s="159"/>
      <x:c r="S1" s="159"/>
      <x:c r="T1" s="159"/>
      <x:c r="U1" s="159"/>
      <x:c r="V1" s="159"/>
      <x:c r="W1" s="159"/>
      <x:c r="X1" s="159"/>
      <x:c r="Y1" s="159"/>
      <x:c r="Z1" s="159"/>
      <x:c r="AA1" s="39"/>
      <x:c r="AB1" s="39"/>
      <x:c r="AC1" s="39"/>
      <x:c r="AD1" s="39"/>
      <x:c r="AE1" s="39"/>
      <x:c r="AF1" s="39"/>
      <x:c r="AG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</x:row>
    <x:row r="3" ht="28" customHeight="1">
      <x:c r="A3" s="202" t="str">
        <x:v>Voce</x:v>
      </x:c>
      <x:c r="B3" s="202" t="str">
        <x:v>Categoria</x:v>
      </x:c>
      <x:c r="C3" s="202" t="str">
        <x:v>Progetto/Cliente</x:v>
      </x:c>
      <x:c r="D3" s="202" t="str">
        <x:v>Tipo costo</x:v>
      </x:c>
      <x:c r="E3" s="202" t="str">
        <x:v>Frequenza</x:v>
      </x:c>
      <x:c r="F3" s="202" t="str">
        <x:v>Importo</x:v>
      </x:c>
      <x:c r="G3" s="202" t="str">
        <x:v>Mensilizzato</x:v>
      </x:c>
      <x:c r="H3" s="202" t="str">
        <x:v>Incide sul margine?</x:v>
      </x:c>
      <x:c r="I3" s="202" t="str">
        <x:v>Solo informativo?</x:v>
      </x:c>
      <x:c r="J3" s="202" t="str">
        <x:v>Note</x:v>
      </x:c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  <x:c r="AA3" s="39"/>
      <x:c r="AB3" s="39"/>
      <x:c r="AC3" s="39"/>
      <x:c r="AD3" s="39"/>
      <x:c r="AE3" s="39"/>
      <x:c r="AF3" s="39"/>
      <x:c r="AG3" s="39"/>
    </x:row>
    <x:row r="4">
      <x:c r="A4" s="197" t="str">
        <x:v>Tool LinkedIn Startupdata</x:v>
      </x:c>
      <x:c r="B4" s="197" t="str">
        <x:v>Tool cliente</x:v>
      </x:c>
      <x:c r="C4" s="197" t="str">
        <x:v>Startupdata</x:v>
      </x:c>
      <x:c r="D4" s="197" t="str">
        <x:v>Dedicato</x:v>
      </x:c>
      <x:c r="E4" s="197" t="str">
        <x:v>Mensile</x:v>
      </x:c>
      <x:c r="F4" s="207" t="n">
        <x:v>45</x:v>
      </x:c>
      <x:c r="G4" s="208" t="n">
        <x:f>IF(E4="Mensile",F4,IF(E4="Annuale",F4/12,IF(E4="Lifetime",0,IF(E4="Variabile",F4,0))))</x:f>
        <x:v>45</x:v>
      </x:c>
      <x:c r="H4" s="197" t="str">
        <x:v>Sì</x:v>
      </x:c>
      <x:c r="I4" s="197" t="str">
        <x:v>No</x:v>
      </x:c>
      <x:c r="J4" s="197" t="str">
        <x:v>Costo operativo Metrics su Startupdata</x:v>
      </x:c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  <x:c r="AA4" s="39"/>
      <x:c r="AB4" s="39"/>
      <x:c r="AC4" s="39"/>
      <x:c r="AD4" s="39"/>
      <x:c r="AE4" s="39"/>
      <x:c r="AF4" s="39"/>
      <x:c r="AG4" s="39"/>
    </x:row>
    <x:row r="5">
      <x:c r="A5" s="197" t="str">
        <x:v>Tool email quota Mirko</x:v>
      </x:c>
      <x:c r="B5" s="197" t="str">
        <x:v>Tool cliente</x:v>
      </x:c>
      <x:c r="C5" s="197" t="str">
        <x:v>Mirko / Evolution</x:v>
      </x:c>
      <x:c r="D5" s="197" t="str">
        <x:v>Condiviso</x:v>
      </x:c>
      <x:c r="E5" s="197" t="str">
        <x:v>Mensile</x:v>
      </x:c>
      <x:c r="F5" s="207" t="n">
        <x:v>10.42</x:v>
      </x:c>
      <x:c r="G5" s="208" t="n">
        <x:f>IF(E5="Mensile",F5,IF(E5="Annuale",F5/12,IF(E5="Lifetime",0,IF(E5="Variabile",F5,0))))</x:f>
        <x:v>10.42</x:v>
      </x:c>
      <x:c r="H5" s="197" t="str">
        <x:v>Sì</x:v>
      </x:c>
      <x:c r="I5" s="197" t="str">
        <x:v>No</x:v>
      </x:c>
      <x:c r="J5" s="197" t="str">
        <x:v>Quota provvisoria 250€/anno divisa tra Mirko e Acquisizione Metrics</x:v>
      </x:c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  <x:c r="AA5" s="39"/>
      <x:c r="AB5" s="39"/>
      <x:c r="AC5" s="39"/>
      <x:c r="AD5" s="39"/>
      <x:c r="AE5" s="39"/>
      <x:c r="AF5" s="39"/>
      <x:c r="AG5" s="39"/>
    </x:row>
    <x:row r="6">
      <x:c r="A6" s="197" t="str">
        <x:v>Tool email quota Acquisizione Metrics</x:v>
      </x:c>
      <x:c r="B6" s="197" t="str">
        <x:v>Acquisizione Metrics</x:v>
      </x:c>
      <x:c r="C6" s="197" t="str">
        <x:v>Acquisizione Metrics</x:v>
      </x:c>
      <x:c r="D6" s="197" t="str">
        <x:v>Condiviso</x:v>
      </x:c>
      <x:c r="E6" s="197" t="str">
        <x:v>Mensile</x:v>
      </x:c>
      <x:c r="F6" s="207" t="n">
        <x:v>10.42</x:v>
      </x:c>
      <x:c r="G6" s="208" t="n">
        <x:f>IF(E6="Mensile",F6,IF(E6="Annuale",F6/12,IF(E6="Lifetime",0,IF(E6="Variabile",F6,0))))</x:f>
        <x:v>10.42</x:v>
      </x:c>
      <x:c r="H6" s="197" t="str">
        <x:v>Sì</x:v>
      </x:c>
      <x:c r="I6" s="197" t="str">
        <x:v>No</x:v>
      </x:c>
      <x:c r="J6" s="197" t="str">
        <x:v>Quota provvisoria 250€/anno divisa tra Mirko e Acquisizione Metrics</x:v>
      </x:c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  <x:c r="AA6" s="39"/>
      <x:c r="AB6" s="39"/>
      <x:c r="AC6" s="39"/>
      <x:c r="AD6" s="39"/>
      <x:c r="AE6" s="39"/>
      <x:c r="AF6" s="39"/>
      <x:c r="AG6" s="39"/>
    </x:row>
    <x:row r="7">
      <x:c r="A7" s="197" t="str">
        <x:v>Taqtic</x:v>
      </x:c>
      <x:c r="B7" s="197" t="str">
        <x:v>Costi personali Fabio</x:v>
      </x:c>
      <x:c r="C7" s="197" t="str">
        <x:v>Metrics</x:v>
      </x:c>
      <x:c r="D7" s="197" t="str">
        <x:v>Personale</x:v>
      </x:c>
      <x:c r="E7" s="197" t="str">
        <x:v>Mensile</x:v>
      </x:c>
      <x:c r="F7" s="207" t="n">
        <x:v>20</x:v>
      </x:c>
      <x:c r="G7" s="208" t="n">
        <x:f>IF(E7="Mensile",F7,IF(E7="Annuale",F7/12,IF(E7="Lifetime",0,IF(E7="Variabile",F7,0))))</x:f>
        <x:v>20</x:v>
      </x:c>
      <x:c r="H7" s="197" t="str">
        <x:v>No</x:v>
      </x:c>
      <x:c r="I7" s="197" t="str">
        <x:v>Sì</x:v>
      </x:c>
      <x:c r="J7" s="197" t="str">
        <x:v>Pagato da Fabio, solo informativo</x:v>
      </x:c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  <x:c r="AA7" s="39"/>
      <x:c r="AB7" s="39"/>
      <x:c r="AC7" s="39"/>
      <x:c r="AD7" s="39"/>
      <x:c r="AE7" s="39"/>
      <x:c r="AF7" s="39"/>
      <x:c r="AG7" s="39"/>
    </x:row>
    <x:row r="8">
      <x:c r="A8" s="197" t="str">
        <x:v>LinkedIn Premium / Sales Navigator</x:v>
      </x:c>
      <x:c r="B8" s="197" t="str">
        <x:v>Costi personali Fabio</x:v>
      </x:c>
      <x:c r="C8" s="197" t="str">
        <x:v>Metrics</x:v>
      </x:c>
      <x:c r="D8" s="197" t="str">
        <x:v>Personale</x:v>
      </x:c>
      <x:c r="E8" s="197" t="str">
        <x:v>Mensile</x:v>
      </x:c>
      <x:c r="F8" s="207" t="n">
        <x:v>90</x:v>
      </x:c>
      <x:c r="G8" s="208" t="n">
        <x:f>IF(E8="Mensile",F8,IF(E8="Annuale",F8/12,IF(E8="Lifetime",0,IF(E8="Variabile",F8,0))))</x:f>
        <x:v>90</x:v>
      </x:c>
      <x:c r="H8" s="197" t="str">
        <x:v>No</x:v>
      </x:c>
      <x:c r="I8" s="197" t="str">
        <x:v>Sì</x:v>
      </x:c>
      <x:c r="J8" s="197" t="str">
        <x:v>Pagato da Fabio, usato per acquisizione Metrics</x:v>
      </x:c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  <x:c r="AA8" s="39"/>
      <x:c r="AB8" s="39"/>
      <x:c r="AC8" s="39"/>
      <x:c r="AD8" s="39"/>
      <x:c r="AE8" s="39"/>
      <x:c r="AF8" s="39"/>
      <x:c r="AG8" s="39"/>
    </x:row>
    <x:row r="9">
      <x:c r="A9" s="197" t="str">
        <x:v>Gamma</x:v>
      </x:c>
      <x:c r="B9" s="197" t="str">
        <x:v>Costi personali Fabio</x:v>
      </x:c>
      <x:c r="C9" s="197" t="str">
        <x:v>Metrics</x:v>
      </x:c>
      <x:c r="D9" s="197" t="str">
        <x:v>Personale</x:v>
      </x:c>
      <x:c r="E9" s="197" t="str">
        <x:v>Mensile</x:v>
      </x:c>
      <x:c r="F9" s="207" t="n">
        <x:v>20</x:v>
      </x:c>
      <x:c r="G9" s="208" t="n">
        <x:f>IF(E9="Mensile",F9,IF(E9="Annuale",F9/12,IF(E9="Lifetime",0,IF(E9="Variabile",F9,0))))</x:f>
        <x:v>20</x:v>
      </x:c>
      <x:c r="H9" s="197" t="str">
        <x:v>No</x:v>
      </x:c>
      <x:c r="I9" s="197" t="str">
        <x:v>Sì</x:v>
      </x:c>
      <x:c r="J9" s="197" t="str">
        <x:v>Pagato da Fabio, presentazioni vendita/clienti</x:v>
      </x:c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  <x:c r="AA9" s="39"/>
      <x:c r="AB9" s="39"/>
      <x:c r="AC9" s="39"/>
      <x:c r="AD9" s="39"/>
      <x:c r="AE9" s="39"/>
      <x:c r="AF9" s="39"/>
      <x:c r="AG9" s="39"/>
    </x:row>
    <x:row r="10">
      <x:c r="A10" s="197" t="str">
        <x:v>Tool LinkedIn Mirko lifetime</x:v>
      </x:c>
      <x:c r="B10" s="197" t="str">
        <x:v>Costi personali Fabio</x:v>
      </x:c>
      <x:c r="C10" s="197" t="str">
        <x:v>Mirko / Evolution</x:v>
      </x:c>
      <x:c r="D10" s="197" t="str">
        <x:v>Personale</x:v>
      </x:c>
      <x:c r="E10" s="197" t="str">
        <x:v>Lifetime</x:v>
      </x:c>
      <x:c r="F10" s="207" t="n">
        <x:v>69</x:v>
      </x:c>
      <x:c r="G10" s="208" t="n">
        <x:f>IF(E10="Mensile",F10,IF(E10="Annuale",F10/12,IF(E10="Lifetime",0,IF(E10="Variabile",F10,0))))</x:f>
        <x:v>0</x:v>
      </x:c>
      <x:c r="H10" s="197" t="str">
        <x:v>No</x:v>
      </x:c>
      <x:c r="I10" s="197" t="str">
        <x:v>Sì</x:v>
      </x:c>
      <x:c r="J10" s="197" t="str">
        <x:v>Pagato da Fabio, una tantum informativa</x:v>
      </x:c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  <x:c r="AA10" s="39"/>
      <x:c r="AB10" s="39"/>
      <x:c r="AC10" s="39"/>
      <x:c r="AD10" s="39"/>
      <x:c r="AE10" s="39"/>
      <x:c r="AF10" s="39"/>
      <x:c r="AG10" s="39"/>
    </x:row>
    <x:row r="11">
      <x:c r="A11" s="197" t="str">
        <x:v>Google Workspace</x:v>
      </x:c>
      <x:c r="B11" s="197" t="str">
        <x:v>Infrastruttura Metrics</x:v>
      </x:c>
      <x:c r="C11" s="197" t="str">
        <x:v>Metrics</x:v>
      </x:c>
      <x:c r="D11" s="197" t="str">
        <x:v>Infrastruttura</x:v>
      </x:c>
      <x:c r="E11" s="197" t="str">
        <x:v>Mensile</x:v>
      </x:c>
      <x:c r="F11" s="207" t="n">
        <x:v>0</x:v>
      </x:c>
      <x:c r="G11" s="208" t="n">
        <x:f>IF(E11="Mensile",F11,IF(E11="Annuale",F11/12,IF(E11="Lifetime",0,IF(E11="Variabile",F11,0))))</x:f>
        <x:v>0</x:v>
      </x:c>
      <x:c r="H11" s="197" t="str">
        <x:v>Da valutare</x:v>
      </x:c>
      <x:c r="I11" s="197" t="str">
        <x:v>No</x:v>
      </x:c>
      <x:c r="J11" s="197" t="str">
        <x:v>Da aggiornare</x:v>
      </x:c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  <x:c r="AB11" s="39"/>
      <x:c r="AC11" s="39"/>
      <x:c r="AD11" s="39"/>
      <x:c r="AE11" s="39"/>
      <x:c r="AF11" s="39"/>
      <x:c r="AG11" s="39"/>
    </x:row>
    <x:row r="12">
      <x:c r="A12" s="197" t="str">
        <x:v>Dominio 1</x:v>
      </x:c>
      <x:c r="B12" s="197" t="str">
        <x:v>Infrastruttura Metrics</x:v>
      </x:c>
      <x:c r="C12" s="197" t="str">
        <x:v>Metrics</x:v>
      </x:c>
      <x:c r="D12" s="197" t="str">
        <x:v>Infrastruttura</x:v>
      </x:c>
      <x:c r="E12" s="197" t="str">
        <x:v>Annuale</x:v>
      </x:c>
      <x:c r="F12" s="207" t="n">
        <x:v>0</x:v>
      </x:c>
      <x:c r="G12" s="208" t="n">
        <x:f>IF(E12="Mensile",F12,IF(E12="Annuale",F12/12,IF(E12="Lifetime",0,IF(E12="Variabile",F12,0))))</x:f>
        <x:v>0</x:v>
      </x:c>
      <x:c r="H12" s="197" t="str">
        <x:v>Da valutare</x:v>
      </x:c>
      <x:c r="I12" s="197" t="str">
        <x:v>No</x:v>
      </x:c>
      <x:c r="J12" s="197" t="str">
        <x:v>Da aggiornare</x:v>
      </x:c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  <x:c r="AA12" s="39"/>
      <x:c r="AB12" s="39"/>
      <x:c r="AC12" s="39"/>
      <x:c r="AD12" s="39"/>
      <x:c r="AE12" s="39"/>
      <x:c r="AF12" s="39"/>
      <x:c r="AG12" s="39"/>
    </x:row>
    <x:row r="13">
      <x:c r="A13" s="197" t="str">
        <x:v>Dominio 2</x:v>
      </x:c>
      <x:c r="B13" s="197" t="str">
        <x:v>Infrastruttura Metrics</x:v>
      </x:c>
      <x:c r="C13" s="197" t="str">
        <x:v>Metrics</x:v>
      </x:c>
      <x:c r="D13" s="197" t="str">
        <x:v>Infrastruttura</x:v>
      </x:c>
      <x:c r="E13" s="197" t="str">
        <x:v>Annuale</x:v>
      </x:c>
      <x:c r="F13" s="207" t="n">
        <x:v>0</x:v>
      </x:c>
      <x:c r="G13" s="208" t="n">
        <x:f>IF(E13="Mensile",F13,IF(E13="Annuale",F13/12,IF(E13="Lifetime",0,IF(E13="Variabile",F13,0))))</x:f>
        <x:v>0</x:v>
      </x:c>
      <x:c r="H13" s="197" t="str">
        <x:v>Da valutare</x:v>
      </x:c>
      <x:c r="I13" s="197" t="str">
        <x:v>No</x:v>
      </x:c>
      <x:c r="J13" s="197" t="str">
        <x:v>Da aggiornare</x:v>
      </x:c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  <x:c r="AA13" s="39"/>
      <x:c r="AB13" s="39"/>
      <x:c r="AC13" s="39"/>
      <x:c r="AD13" s="39"/>
      <x:c r="AE13" s="39"/>
      <x:c r="AF13" s="39"/>
      <x:c r="AG13" s="39"/>
    </x:row>
    <x:row r="14">
      <x:c r="A14" s="197" t="str">
        <x:v>Server 1</x:v>
      </x:c>
      <x:c r="B14" s="197" t="str">
        <x:v>Infrastruttura Metrics</x:v>
      </x:c>
      <x:c r="C14" s="197" t="str">
        <x:v>Metrics</x:v>
      </x:c>
      <x:c r="D14" s="197" t="str">
        <x:v>Infrastruttura</x:v>
      </x:c>
      <x:c r="E14" s="197" t="str">
        <x:v>Mensile</x:v>
      </x:c>
      <x:c r="F14" s="207" t="n">
        <x:v>0</x:v>
      </x:c>
      <x:c r="G14" s="208" t="n">
        <x:f>IF(E14="Mensile",F14,IF(E14="Annuale",F14/12,IF(E14="Lifetime",0,IF(E14="Variabile",F14,0))))</x:f>
        <x:v>0</x:v>
      </x:c>
      <x:c r="H14" s="197" t="str">
        <x:v>Da valutare</x:v>
      </x:c>
      <x:c r="I14" s="197" t="str">
        <x:v>No</x:v>
      </x:c>
      <x:c r="J14" s="197" t="str">
        <x:v>Da aggiornare</x:v>
      </x:c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  <x:c r="AA14" s="39"/>
      <x:c r="AB14" s="39"/>
      <x:c r="AC14" s="39"/>
      <x:c r="AD14" s="39"/>
      <x:c r="AE14" s="39"/>
      <x:c r="AF14" s="39"/>
      <x:c r="AG14" s="39"/>
    </x:row>
    <x:row r="15">
      <x:c r="A15" s="197" t="str">
        <x:v>Server 2</x:v>
      </x:c>
      <x:c r="B15" s="197" t="str">
        <x:v>Infrastruttura Metrics</x:v>
      </x:c>
      <x:c r="C15" s="197" t="str">
        <x:v>Metrics</x:v>
      </x:c>
      <x:c r="D15" s="197" t="str">
        <x:v>Infrastruttura</x:v>
      </x:c>
      <x:c r="E15" s="197" t="str">
        <x:v>Mensile</x:v>
      </x:c>
      <x:c r="F15" s="207" t="n">
        <x:v>0</x:v>
      </x:c>
      <x:c r="G15" s="208" t="n">
        <x:f>IF(E15="Mensile",F15,IF(E15="Annuale",F15/12,IF(E15="Lifetime",0,IF(E15="Variabile",F15,0))))</x:f>
        <x:v>0</x:v>
      </x:c>
      <x:c r="H15" s="197" t="str">
        <x:v>Da valutare</x:v>
      </x:c>
      <x:c r="I15" s="197" t="str">
        <x:v>No</x:v>
      </x:c>
      <x:c r="J15" s="197" t="str">
        <x:v>Da aggiornare</x:v>
      </x:c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  <x:c r="AA15" s="39"/>
      <x:c r="AB15" s="39"/>
      <x:c r="AC15" s="39"/>
      <x:c r="AD15" s="39"/>
      <x:c r="AE15" s="39"/>
      <x:c r="AF15" s="39"/>
      <x:c r="AG15" s="39"/>
    </x:row>
    <x:row r="16">
      <x:c r="A16" s="197" t="str">
        <x:v>Numero telefono 1</x:v>
      </x:c>
      <x:c r="B16" s="197" t="str">
        <x:v>Infrastruttura Metrics</x:v>
      </x:c>
      <x:c r="C16" s="197" t="str">
        <x:v>Metrics</x:v>
      </x:c>
      <x:c r="D16" s="197" t="str">
        <x:v>Infrastruttura</x:v>
      </x:c>
      <x:c r="E16" s="197" t="str">
        <x:v>Mensile</x:v>
      </x:c>
      <x:c r="F16" s="207" t="n">
        <x:v>0</x:v>
      </x:c>
      <x:c r="G16" s="208" t="n">
        <x:f>IF(E16="Mensile",F16,IF(E16="Annuale",F16/12,IF(E16="Lifetime",0,IF(E16="Variabile",F16,0))))</x:f>
        <x:v>0</x:v>
      </x:c>
      <x:c r="H16" s="197" t="str">
        <x:v>Da valutare</x:v>
      </x:c>
      <x:c r="I16" s="197" t="str">
        <x:v>No</x:v>
      </x:c>
      <x:c r="J16" s="197" t="str">
        <x:v>Da aggiornare</x:v>
      </x:c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  <x:c r="AA16" s="39"/>
      <x:c r="AB16" s="39"/>
      <x:c r="AC16" s="39"/>
      <x:c r="AD16" s="39"/>
      <x:c r="AE16" s="39"/>
      <x:c r="AF16" s="39"/>
      <x:c r="AG16" s="39"/>
    </x:row>
    <x:row r="17">
      <x:c r="A17" s="197" t="str">
        <x:v>Numero telefono 2</x:v>
      </x:c>
      <x:c r="B17" s="197" t="str">
        <x:v>Infrastruttura Metrics</x:v>
      </x:c>
      <x:c r="C17" s="197" t="str">
        <x:v>Metrics</x:v>
      </x:c>
      <x:c r="D17" s="197" t="str">
        <x:v>Infrastruttura</x:v>
      </x:c>
      <x:c r="E17" s="197" t="str">
        <x:v>Mensile</x:v>
      </x:c>
      <x:c r="F17" s="207" t="n">
        <x:v>0</x:v>
      </x:c>
      <x:c r="G17" s="208" t="n">
        <x:f>IF(E17="Mensile",F17,IF(E17="Annuale",F17/12,IF(E17="Lifetime",0,IF(E17="Variabile",F17,0))))</x:f>
        <x:v>0</x:v>
      </x:c>
      <x:c r="H17" s="197" t="str">
        <x:v>Da valutare</x:v>
      </x:c>
      <x:c r="I17" s="197" t="str">
        <x:v>No</x:v>
      </x:c>
      <x:c r="J17" s="197" t="str">
        <x:v>Da aggiornare</x:v>
      </x:c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  <x:c r="AA17" s="39"/>
      <x:c r="AB17" s="39"/>
      <x:c r="AC17" s="39"/>
      <x:c r="AD17" s="39"/>
      <x:c r="AE17" s="39"/>
      <x:c r="AF17" s="39"/>
      <x:c r="AG17" s="39"/>
    </x:row>
    <x:row r="18">
      <x:c r="A18" s="197" t="str">
        <x:v>Vapi</x:v>
      </x:c>
      <x:c r="B18" s="197" t="str">
        <x:v>Agente vocale / Infrastruttura</x:v>
      </x:c>
      <x:c r="C18" s="197" t="str">
        <x:v>Metrics</x:v>
      </x:c>
      <x:c r="D18" s="197" t="str">
        <x:v>Infrastruttura</x:v>
      </x:c>
      <x:c r="E18" s="197" t="str">
        <x:v>Variabile</x:v>
      </x:c>
      <x:c r="F18" s="207" t="n">
        <x:v>0</x:v>
      </x:c>
      <x:c r="G18" s="208" t="n">
        <x:f>IF(E18="Mensile",F18,IF(E18="Annuale",F18/12,IF(E18="Lifetime",0,IF(E18="Variabile",F18,0))))</x:f>
        <x:v>0</x:v>
      </x:c>
      <x:c r="H18" s="197" t="str">
        <x:v>Da valutare</x:v>
      </x:c>
      <x:c r="I18" s="197" t="str">
        <x:v>No</x:v>
      </x:c>
      <x:c r="J18" s="197" t="str">
        <x:v>Da aggiornare</x:v>
      </x:c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  <x:c r="AA18" s="39"/>
      <x:c r="AB18" s="39"/>
      <x:c r="AC18" s="39"/>
      <x:c r="AD18" s="39"/>
      <x:c r="AE18" s="39"/>
      <x:c r="AF18" s="39"/>
      <x:c r="AG18" s="39"/>
    </x:row>
    <x:row r="19">
      <x:c r="A19" s="197" t="str">
        <x:v>Telnyx</x:v>
      </x:c>
      <x:c r="B19" s="197" t="str">
        <x:v>Agente vocale / Infrastruttura</x:v>
      </x:c>
      <x:c r="C19" s="197" t="str">
        <x:v>Metrics</x:v>
      </x:c>
      <x:c r="D19" s="197" t="str">
        <x:v>Infrastruttura</x:v>
      </x:c>
      <x:c r="E19" s="197" t="str">
        <x:v>Variabile</x:v>
      </x:c>
      <x:c r="F19" s="207" t="n">
        <x:v>0</x:v>
      </x:c>
      <x:c r="G19" s="208" t="n">
        <x:f>IF(E19="Mensile",F19,IF(E19="Annuale",F19/12,IF(E19="Lifetime",0,IF(E19="Variabile",F19,0))))</x:f>
        <x:v>0</x:v>
      </x:c>
      <x:c r="H19" s="197" t="str">
        <x:v>Da valutare</x:v>
      </x:c>
      <x:c r="I19" s="197" t="str">
        <x:v>No</x:v>
      </x:c>
      <x:c r="J19" s="197" t="str">
        <x:v>Da aggiornare</x:v>
      </x:c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  <x:c r="AA19" s="39"/>
      <x:c r="AB19" s="39"/>
      <x:c r="AC19" s="39"/>
      <x:c r="AD19" s="39"/>
      <x:c r="AE19" s="39"/>
      <x:c r="AF19" s="39"/>
      <x:c r="AG19" s="39"/>
    </x:row>
    <x:row r="20">
      <x:c r="A20" s="197"/>
      <x:c r="B20" s="197"/>
      <x:c r="C20" s="197"/>
      <x:c r="D20" s="197"/>
      <x:c r="E20" s="197"/>
      <x:c r="F20" s="197"/>
      <x:c r="G20" s="198" t="n">
        <x:f>IF(E20="Mensile",F20,IF(E20="Annuale",F20/12,IF(E20="Lifetime",0,IF(E20="Variabile",F20,0))))</x:f>
        <x:v>0</x:v>
      </x:c>
      <x:c r="H20" s="197"/>
      <x:c r="I20" s="197"/>
      <x:c r="J20" s="197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  <x:c r="AA20" s="39"/>
      <x:c r="AB20" s="39"/>
      <x:c r="AC20" s="39"/>
      <x:c r="AD20" s="39"/>
      <x:c r="AE20" s="39"/>
      <x:c r="AF20" s="39"/>
      <x:c r="AG20" s="39"/>
    </x:row>
    <x:row r="21">
      <x:c r="A21" s="197"/>
      <x:c r="B21" s="197"/>
      <x:c r="C21" s="197"/>
      <x:c r="D21" s="197"/>
      <x:c r="E21" s="197"/>
      <x:c r="F21" s="197"/>
      <x:c r="G21" s="198" t="n">
        <x:f>IF(E21="Mensile",F21,IF(E21="Annuale",F21/12,IF(E21="Lifetime",0,IF(E21="Variabile",F21,0))))</x:f>
        <x:v>0</x:v>
      </x:c>
      <x:c r="H21" s="197"/>
      <x:c r="I21" s="197"/>
      <x:c r="J21" s="197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  <x:c r="AA21" s="39"/>
      <x:c r="AB21" s="39"/>
      <x:c r="AC21" s="39"/>
      <x:c r="AD21" s="39"/>
      <x:c r="AE21" s="39"/>
      <x:c r="AF21" s="39"/>
      <x:c r="AG21" s="39"/>
    </x:row>
    <x:row r="22">
      <x:c r="A22" s="197"/>
      <x:c r="B22" s="197"/>
      <x:c r="C22" s="197"/>
      <x:c r="D22" s="197"/>
      <x:c r="E22" s="197"/>
      <x:c r="F22" s="197"/>
      <x:c r="G22" s="198" t="n">
        <x:f>IF(E22="Mensile",F22,IF(E22="Annuale",F22/12,IF(E22="Lifetime",0,IF(E22="Variabile",F22,0))))</x:f>
        <x:v>0</x:v>
      </x:c>
      <x:c r="H22" s="197"/>
      <x:c r="I22" s="197"/>
      <x:c r="J22" s="197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  <x:c r="AA22" s="39"/>
      <x:c r="AB22" s="39"/>
      <x:c r="AC22" s="39"/>
      <x:c r="AD22" s="39"/>
      <x:c r="AE22" s="39"/>
      <x:c r="AF22" s="39"/>
      <x:c r="AG22" s="39"/>
    </x:row>
    <x:row r="23">
      <x:c r="A23" s="197"/>
      <x:c r="B23" s="197"/>
      <x:c r="C23" s="197"/>
      <x:c r="D23" s="197"/>
      <x:c r="E23" s="197"/>
      <x:c r="F23" s="197"/>
      <x:c r="G23" s="198" t="n">
        <x:f>IF(E23="Mensile",F23,IF(E23="Annuale",F23/12,IF(E23="Lifetime",0,IF(E23="Variabile",F23,0))))</x:f>
        <x:v>0</x:v>
      </x:c>
      <x:c r="H23" s="197"/>
      <x:c r="I23" s="197"/>
      <x:c r="J23" s="197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  <x:c r="AA23" s="39"/>
      <x:c r="AB23" s="39"/>
      <x:c r="AC23" s="39"/>
      <x:c r="AD23" s="39"/>
      <x:c r="AE23" s="39"/>
      <x:c r="AF23" s="39"/>
      <x:c r="AG23" s="39"/>
    </x:row>
    <x:row r="24">
      <x:c r="A24" s="197"/>
      <x:c r="B24" s="197"/>
      <x:c r="C24" s="197"/>
      <x:c r="D24" s="197"/>
      <x:c r="E24" s="197"/>
      <x:c r="F24" s="197"/>
      <x:c r="G24" s="198" t="n">
        <x:f>IF(E24="Mensile",F24,IF(E24="Annuale",F24/12,IF(E24="Lifetime",0,IF(E24="Variabile",F24,0))))</x:f>
        <x:v>0</x:v>
      </x:c>
      <x:c r="H24" s="197"/>
      <x:c r="I24" s="197"/>
      <x:c r="J24" s="197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  <x:c r="AA24" s="39"/>
      <x:c r="AB24" s="39"/>
      <x:c r="AC24" s="39"/>
      <x:c r="AD24" s="39"/>
      <x:c r="AE24" s="39"/>
      <x:c r="AF24" s="39"/>
      <x:c r="AG24" s="39"/>
    </x:row>
    <x:row r="25">
      <x:c r="A25" s="197"/>
      <x:c r="B25" s="197"/>
      <x:c r="C25" s="197"/>
      <x:c r="D25" s="197"/>
      <x:c r="E25" s="197"/>
      <x:c r="F25" s="197"/>
      <x:c r="G25" s="198" t="n">
        <x:f>IF(E25="Mensile",F25,IF(E25="Annuale",F25/12,IF(E25="Lifetime",0,IF(E25="Variabile",F25,0))))</x:f>
        <x:v>0</x:v>
      </x:c>
      <x:c r="H25" s="197"/>
      <x:c r="I25" s="197"/>
      <x:c r="J25" s="197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  <x:c r="AA25" s="39"/>
      <x:c r="AB25" s="39"/>
      <x:c r="AC25" s="39"/>
      <x:c r="AD25" s="39"/>
      <x:c r="AE25" s="39"/>
      <x:c r="AF25" s="39"/>
      <x:c r="AG25" s="39"/>
    </x:row>
    <x:row r="26">
      <x:c r="A26" s="197"/>
      <x:c r="B26" s="197"/>
      <x:c r="C26" s="197"/>
      <x:c r="D26" s="197"/>
      <x:c r="E26" s="197"/>
      <x:c r="F26" s="197"/>
      <x:c r="G26" s="198" t="n">
        <x:f>IF(E26="Mensile",F26,IF(E26="Annuale",F26/12,IF(E26="Lifetime",0,IF(E26="Variabile",F26,0))))</x:f>
        <x:v>0</x:v>
      </x:c>
      <x:c r="H26" s="197"/>
      <x:c r="I26" s="197"/>
      <x:c r="J26" s="197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  <x:c r="AA26" s="39"/>
      <x:c r="AB26" s="39"/>
      <x:c r="AC26" s="39"/>
      <x:c r="AD26" s="39"/>
      <x:c r="AE26" s="39"/>
      <x:c r="AF26" s="39"/>
      <x:c r="AG26" s="39"/>
    </x:row>
    <x:row r="27">
      <x:c r="A27" s="197"/>
      <x:c r="B27" s="197"/>
      <x:c r="C27" s="197"/>
      <x:c r="D27" s="197"/>
      <x:c r="E27" s="197"/>
      <x:c r="F27" s="197"/>
      <x:c r="G27" s="198" t="n">
        <x:f>IF(E27="Mensile",F27,IF(E27="Annuale",F27/12,IF(E27="Lifetime",0,IF(E27="Variabile",F27,0))))</x:f>
        <x:v>0</x:v>
      </x:c>
      <x:c r="H27" s="197"/>
      <x:c r="I27" s="197"/>
      <x:c r="J27" s="197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  <x:c r="AA27" s="39"/>
      <x:c r="AB27" s="39"/>
      <x:c r="AC27" s="39"/>
      <x:c r="AD27" s="39"/>
      <x:c r="AE27" s="39"/>
      <x:c r="AF27" s="39"/>
      <x:c r="AG27" s="39"/>
    </x:row>
    <x:row r="28">
      <x:c r="A28" s="197"/>
      <x:c r="B28" s="197"/>
      <x:c r="C28" s="197"/>
      <x:c r="D28" s="197"/>
      <x:c r="E28" s="197"/>
      <x:c r="F28" s="197"/>
      <x:c r="G28" s="198" t="n">
        <x:f>IF(E28="Mensile",F28,IF(E28="Annuale",F28/12,IF(E28="Lifetime",0,IF(E28="Variabile",F28,0))))</x:f>
        <x:v>0</x:v>
      </x:c>
      <x:c r="H28" s="197"/>
      <x:c r="I28" s="197"/>
      <x:c r="J28" s="197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  <x:c r="AA28" s="39"/>
      <x:c r="AB28" s="39"/>
      <x:c r="AC28" s="39"/>
      <x:c r="AD28" s="39"/>
      <x:c r="AE28" s="39"/>
      <x:c r="AF28" s="39"/>
      <x:c r="AG28" s="39"/>
    </x:row>
    <x:row r="29">
      <x:c r="A29" s="197"/>
      <x:c r="B29" s="197"/>
      <x:c r="C29" s="197"/>
      <x:c r="D29" s="197"/>
      <x:c r="E29" s="197"/>
      <x:c r="F29" s="197"/>
      <x:c r="G29" s="198" t="n">
        <x:f>IF(E29="Mensile",F29,IF(E29="Annuale",F29/12,IF(E29="Lifetime",0,IF(E29="Variabile",F29,0))))</x:f>
        <x:v>0</x:v>
      </x:c>
      <x:c r="H29" s="197"/>
      <x:c r="I29" s="197"/>
      <x:c r="J29" s="197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  <x:c r="AA29" s="39"/>
      <x:c r="AB29" s="39"/>
      <x:c r="AC29" s="39"/>
      <x:c r="AD29" s="39"/>
      <x:c r="AE29" s="39"/>
      <x:c r="AF29" s="39"/>
      <x:c r="AG29" s="39"/>
    </x:row>
    <x:row r="30">
      <x:c r="A30" s="197"/>
      <x:c r="B30" s="197"/>
      <x:c r="C30" s="197"/>
      <x:c r="D30" s="197"/>
      <x:c r="E30" s="197"/>
      <x:c r="F30" s="197"/>
      <x:c r="G30" s="198" t="n">
        <x:f>IF(E30="Mensile",F30,IF(E30="Annuale",F30/12,IF(E30="Lifetime",0,IF(E30="Variabile",F30,0))))</x:f>
        <x:v>0</x:v>
      </x:c>
      <x:c r="H30" s="197"/>
      <x:c r="I30" s="197"/>
      <x:c r="J30" s="197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  <x:c r="AA30" s="39"/>
      <x:c r="AB30" s="39"/>
      <x:c r="AC30" s="39"/>
      <x:c r="AD30" s="39"/>
      <x:c r="AE30" s="39"/>
      <x:c r="AF30" s="39"/>
      <x:c r="AG30" s="39"/>
    </x:row>
    <x:row r="31">
      <x:c r="A31" s="197"/>
      <x:c r="B31" s="197"/>
      <x:c r="C31" s="197"/>
      <x:c r="D31" s="197"/>
      <x:c r="E31" s="197"/>
      <x:c r="F31" s="197"/>
      <x:c r="G31" s="198" t="n">
        <x:f>IF(E31="Mensile",F31,IF(E31="Annuale",F31/12,IF(E31="Lifetime",0,IF(E31="Variabile",F31,0))))</x:f>
        <x:v>0</x:v>
      </x:c>
      <x:c r="H31" s="197"/>
      <x:c r="I31" s="197"/>
      <x:c r="J31" s="197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  <x:c r="AA31" s="39"/>
      <x:c r="AB31" s="39"/>
      <x:c r="AC31" s="39"/>
      <x:c r="AD31" s="39"/>
      <x:c r="AE31" s="39"/>
      <x:c r="AF31" s="39"/>
      <x:c r="AG31" s="39"/>
    </x:row>
    <x:row r="32">
      <x:c r="A32" s="197"/>
      <x:c r="B32" s="197"/>
      <x:c r="C32" s="197"/>
      <x:c r="D32" s="197"/>
      <x:c r="E32" s="197"/>
      <x:c r="F32" s="197"/>
      <x:c r="G32" s="198" t="n">
        <x:f>IF(E32="Mensile",F32,IF(E32="Annuale",F32/12,IF(E32="Lifetime",0,IF(E32="Variabile",F32,0))))</x:f>
        <x:v>0</x:v>
      </x:c>
      <x:c r="H32" s="197"/>
      <x:c r="I32" s="197"/>
      <x:c r="J32" s="197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  <x:c r="AA32" s="39"/>
      <x:c r="AB32" s="39"/>
      <x:c r="AC32" s="39"/>
      <x:c r="AD32" s="39"/>
      <x:c r="AE32" s="39"/>
      <x:c r="AF32" s="39"/>
      <x:c r="AG32" s="39"/>
    </x:row>
    <x:row r="33">
      <x:c r="A33" s="197"/>
      <x:c r="B33" s="197"/>
      <x:c r="C33" s="197"/>
      <x:c r="D33" s="197"/>
      <x:c r="E33" s="197"/>
      <x:c r="F33" s="197"/>
      <x:c r="G33" s="198" t="n">
        <x:f>IF(E33="Mensile",F33,IF(E33="Annuale",F33/12,IF(E33="Lifetime",0,IF(E33="Variabile",F33,0))))</x:f>
        <x:v>0</x:v>
      </x:c>
      <x:c r="H33" s="197"/>
      <x:c r="I33" s="197"/>
      <x:c r="J33" s="197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  <x:c r="AA33" s="39"/>
      <x:c r="AB33" s="39"/>
      <x:c r="AC33" s="39"/>
      <x:c r="AD33" s="39"/>
      <x:c r="AE33" s="39"/>
      <x:c r="AF33" s="39"/>
      <x:c r="AG33" s="39"/>
    </x:row>
    <x:row r="34">
      <x:c r="A34" s="197"/>
      <x:c r="B34" s="197"/>
      <x:c r="C34" s="197"/>
      <x:c r="D34" s="197"/>
      <x:c r="E34" s="197"/>
      <x:c r="F34" s="197"/>
      <x:c r="G34" s="198" t="n">
        <x:f>IF(E34="Mensile",F34,IF(E34="Annuale",F34/12,IF(E34="Lifetime",0,IF(E34="Variabile",F34,0))))</x:f>
        <x:v>0</x:v>
      </x:c>
      <x:c r="H34" s="197"/>
      <x:c r="I34" s="197"/>
      <x:c r="J34" s="197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  <x:c r="AA34" s="39"/>
      <x:c r="AB34" s="39"/>
      <x:c r="AC34" s="39"/>
      <x:c r="AD34" s="39"/>
      <x:c r="AE34" s="39"/>
      <x:c r="AF34" s="39"/>
      <x:c r="AG34" s="39"/>
    </x:row>
    <x:row r="35">
      <x:c r="A35" s="197"/>
      <x:c r="B35" s="197"/>
      <x:c r="C35" s="197"/>
      <x:c r="D35" s="197"/>
      <x:c r="E35" s="197"/>
      <x:c r="F35" s="197"/>
      <x:c r="G35" s="198" t="n">
        <x:f>IF(E35="Mensile",F35,IF(E35="Annuale",F35/12,IF(E35="Lifetime",0,IF(E35="Variabile",F35,0))))</x:f>
        <x:v>0</x:v>
      </x:c>
      <x:c r="H35" s="197"/>
      <x:c r="I35" s="197"/>
      <x:c r="J35" s="197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  <x:c r="AA35" s="39"/>
      <x:c r="AB35" s="39"/>
      <x:c r="AC35" s="39"/>
      <x:c r="AD35" s="39"/>
      <x:c r="AE35" s="39"/>
      <x:c r="AF35" s="39"/>
      <x:c r="AG35" s="39"/>
    </x:row>
    <x:row r="36">
      <x:c r="A36" s="197"/>
      <x:c r="B36" s="197"/>
      <x:c r="C36" s="197"/>
      <x:c r="D36" s="197"/>
      <x:c r="E36" s="197"/>
      <x:c r="F36" s="197"/>
      <x:c r="G36" s="198" t="n">
        <x:f>IF(E36="Mensile",F36,IF(E36="Annuale",F36/12,IF(E36="Lifetime",0,IF(E36="Variabile",F36,0))))</x:f>
        <x:v>0</x:v>
      </x:c>
      <x:c r="H36" s="197"/>
      <x:c r="I36" s="197"/>
      <x:c r="J36" s="197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  <x:c r="AA36" s="39"/>
      <x:c r="AB36" s="39"/>
      <x:c r="AC36" s="39"/>
      <x:c r="AD36" s="39"/>
      <x:c r="AE36" s="39"/>
      <x:c r="AF36" s="39"/>
      <x:c r="AG36" s="39"/>
    </x:row>
    <x:row r="37">
      <x:c r="A37" s="197"/>
      <x:c r="B37" s="197"/>
      <x:c r="C37" s="197"/>
      <x:c r="D37" s="197"/>
      <x:c r="E37" s="197"/>
      <x:c r="F37" s="197"/>
      <x:c r="G37" s="198" t="n">
        <x:f>IF(E37="Mensile",F37,IF(E37="Annuale",F37/12,IF(E37="Lifetime",0,IF(E37="Variabile",F37,0))))</x:f>
        <x:v>0</x:v>
      </x:c>
      <x:c r="H37" s="197"/>
      <x:c r="I37" s="197"/>
      <x:c r="J37" s="197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  <x:c r="AA37" s="39"/>
      <x:c r="AB37" s="39"/>
      <x:c r="AC37" s="39"/>
      <x:c r="AD37" s="39"/>
      <x:c r="AE37" s="39"/>
      <x:c r="AF37" s="39"/>
      <x:c r="AG37" s="39"/>
    </x:row>
    <x:row r="38">
      <x:c r="A38" s="197"/>
      <x:c r="B38" s="197"/>
      <x:c r="C38" s="197"/>
      <x:c r="D38" s="197"/>
      <x:c r="E38" s="197"/>
      <x:c r="F38" s="197"/>
      <x:c r="G38" s="198" t="n">
        <x:f>IF(E38="Mensile",F38,IF(E38="Annuale",F38/12,IF(E38="Lifetime",0,IF(E38="Variabile",F38,0))))</x:f>
        <x:v>0</x:v>
      </x:c>
      <x:c r="H38" s="197"/>
      <x:c r="I38" s="197"/>
      <x:c r="J38" s="197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  <x:c r="AA38" s="39"/>
      <x:c r="AB38" s="39"/>
      <x:c r="AC38" s="39"/>
      <x:c r="AD38" s="39"/>
      <x:c r="AE38" s="39"/>
      <x:c r="AF38" s="39"/>
      <x:c r="AG38" s="39"/>
    </x:row>
    <x:row r="39">
      <x:c r="A39" s="197"/>
      <x:c r="B39" s="197"/>
      <x:c r="C39" s="197"/>
      <x:c r="D39" s="197"/>
      <x:c r="E39" s="197"/>
      <x:c r="F39" s="197"/>
      <x:c r="G39" s="198" t="n">
        <x:f>IF(E39="Mensile",F39,IF(E39="Annuale",F39/12,IF(E39="Lifetime",0,IF(E39="Variabile",F39,0))))</x:f>
        <x:v>0</x:v>
      </x:c>
      <x:c r="H39" s="197"/>
      <x:c r="I39" s="197"/>
      <x:c r="J39" s="197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  <x:c r="AA39" s="39"/>
      <x:c r="AB39" s="39"/>
      <x:c r="AC39" s="39"/>
      <x:c r="AD39" s="39"/>
      <x:c r="AE39" s="39"/>
      <x:c r="AF39" s="39"/>
      <x:c r="AG39" s="39"/>
    </x:row>
    <x:row r="40">
      <x:c r="A40" s="197"/>
      <x:c r="B40" s="197"/>
      <x:c r="C40" s="197"/>
      <x:c r="D40" s="197"/>
      <x:c r="E40" s="197"/>
      <x:c r="F40" s="197"/>
      <x:c r="G40" s="198" t="n">
        <x:f>IF(E40="Mensile",F40,IF(E40="Annuale",F40/12,IF(E40="Lifetime",0,IF(E40="Variabile",F40,0))))</x:f>
        <x:v>0</x:v>
      </x:c>
      <x:c r="H40" s="197"/>
      <x:c r="I40" s="197"/>
      <x:c r="J40" s="197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  <x:c r="AA40" s="39"/>
      <x:c r="AB40" s="39"/>
      <x:c r="AC40" s="39"/>
      <x:c r="AD40" s="39"/>
      <x:c r="AE40" s="39"/>
      <x:c r="AF40" s="39"/>
      <x:c r="AG40" s="39"/>
    </x:row>
    <x:row r="41">
      <x:c r="A41" s="197"/>
      <x:c r="B41" s="197"/>
      <x:c r="C41" s="197"/>
      <x:c r="D41" s="197"/>
      <x:c r="E41" s="197"/>
      <x:c r="F41" s="197"/>
      <x:c r="G41" s="198" t="n">
        <x:f>IF(E41="Mensile",F41,IF(E41="Annuale",F41/12,IF(E41="Lifetime",0,IF(E41="Variabile",F41,0))))</x:f>
        <x:v>0</x:v>
      </x:c>
      <x:c r="H41" s="197"/>
      <x:c r="I41" s="197"/>
      <x:c r="J41" s="197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  <x:c r="AA41" s="39"/>
      <x:c r="AB41" s="39"/>
      <x:c r="AC41" s="39"/>
      <x:c r="AD41" s="39"/>
      <x:c r="AE41" s="39"/>
      <x:c r="AF41" s="39"/>
      <x:c r="AG41" s="39"/>
    </x:row>
    <x:row r="42">
      <x:c r="A42" s="197"/>
      <x:c r="B42" s="197"/>
      <x:c r="C42" s="197"/>
      <x:c r="D42" s="197"/>
      <x:c r="E42" s="197"/>
      <x:c r="F42" s="197"/>
      <x:c r="G42" s="198" t="n">
        <x:f>IF(E42="Mensile",F42,IF(E42="Annuale",F42/12,IF(E42="Lifetime",0,IF(E42="Variabile",F42,0))))</x:f>
        <x:v>0</x:v>
      </x:c>
      <x:c r="H42" s="197"/>
      <x:c r="I42" s="197"/>
      <x:c r="J42" s="197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  <x:c r="AA42" s="39"/>
      <x:c r="AB42" s="39"/>
      <x:c r="AC42" s="39"/>
      <x:c r="AD42" s="39"/>
      <x:c r="AE42" s="39"/>
      <x:c r="AF42" s="39"/>
      <x:c r="AG42" s="39"/>
    </x:row>
    <x:row r="43">
      <x:c r="A43" s="197"/>
      <x:c r="B43" s="197"/>
      <x:c r="C43" s="197"/>
      <x:c r="D43" s="197"/>
      <x:c r="E43" s="197"/>
      <x:c r="F43" s="197"/>
      <x:c r="G43" s="198" t="n">
        <x:f>IF(E43="Mensile",F43,IF(E43="Annuale",F43/12,IF(E43="Lifetime",0,IF(E43="Variabile",F43,0))))</x:f>
        <x:v>0</x:v>
      </x:c>
      <x:c r="H43" s="197"/>
      <x:c r="I43" s="197"/>
      <x:c r="J43" s="197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  <x:c r="AA43" s="39"/>
      <x:c r="AB43" s="39"/>
      <x:c r="AC43" s="39"/>
      <x:c r="AD43" s="39"/>
      <x:c r="AE43" s="39"/>
      <x:c r="AF43" s="39"/>
      <x:c r="AG43" s="39"/>
    </x:row>
    <x:row r="44">
      <x:c r="A44" s="197"/>
      <x:c r="B44" s="197"/>
      <x:c r="C44" s="197"/>
      <x:c r="D44" s="197"/>
      <x:c r="E44" s="197"/>
      <x:c r="F44" s="197"/>
      <x:c r="G44" s="198" t="n">
        <x:f>IF(E44="Mensile",F44,IF(E44="Annuale",F44/12,IF(E44="Lifetime",0,IF(E44="Variabile",F44,0))))</x:f>
        <x:v>0</x:v>
      </x:c>
      <x:c r="H44" s="197"/>
      <x:c r="I44" s="197"/>
      <x:c r="J44" s="197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  <x:c r="AA44" s="39"/>
      <x:c r="AB44" s="39"/>
      <x:c r="AC44" s="39"/>
      <x:c r="AD44" s="39"/>
      <x:c r="AE44" s="39"/>
      <x:c r="AF44" s="39"/>
      <x:c r="AG44" s="39"/>
    </x:row>
    <x:row r="45">
      <x:c r="A45" s="197"/>
      <x:c r="B45" s="197"/>
      <x:c r="C45" s="197"/>
      <x:c r="D45" s="197"/>
      <x:c r="E45" s="197"/>
      <x:c r="F45" s="197"/>
      <x:c r="G45" s="198" t="n">
        <x:f>IF(E45="Mensile",F45,IF(E45="Annuale",F45/12,IF(E45="Lifetime",0,IF(E45="Variabile",F45,0))))</x:f>
        <x:v>0</x:v>
      </x:c>
      <x:c r="H45" s="197"/>
      <x:c r="I45" s="197"/>
      <x:c r="J45" s="197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  <x:c r="AA45" s="39"/>
      <x:c r="AB45" s="39"/>
      <x:c r="AC45" s="39"/>
      <x:c r="AD45" s="39"/>
      <x:c r="AE45" s="39"/>
      <x:c r="AF45" s="39"/>
      <x:c r="AG45" s="39"/>
    </x:row>
    <x:row r="46">
      <x:c r="A46" s="197"/>
      <x:c r="B46" s="197"/>
      <x:c r="C46" s="197"/>
      <x:c r="D46" s="197"/>
      <x:c r="E46" s="197"/>
      <x:c r="F46" s="197"/>
      <x:c r="G46" s="198" t="n">
        <x:f>IF(E46="Mensile",F46,IF(E46="Annuale",F46/12,IF(E46="Lifetime",0,IF(E46="Variabile",F46,0))))</x:f>
        <x:v>0</x:v>
      </x:c>
      <x:c r="H46" s="197"/>
      <x:c r="I46" s="197"/>
      <x:c r="J46" s="197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  <x:c r="AA46" s="39"/>
      <x:c r="AB46" s="39"/>
      <x:c r="AC46" s="39"/>
      <x:c r="AD46" s="39"/>
      <x:c r="AE46" s="39"/>
      <x:c r="AF46" s="39"/>
      <x:c r="AG46" s="39"/>
    </x:row>
    <x:row r="47">
      <x:c r="A47" s="197"/>
      <x:c r="B47" s="197"/>
      <x:c r="C47" s="197"/>
      <x:c r="D47" s="197"/>
      <x:c r="E47" s="197"/>
      <x:c r="F47" s="197"/>
      <x:c r="G47" s="198" t="n">
        <x:f>IF(E47="Mensile",F47,IF(E47="Annuale",F47/12,IF(E47="Lifetime",0,IF(E47="Variabile",F47,0))))</x:f>
        <x:v>0</x:v>
      </x:c>
      <x:c r="H47" s="197"/>
      <x:c r="I47" s="197"/>
      <x:c r="J47" s="197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  <x:c r="AA47" s="39"/>
      <x:c r="AB47" s="39"/>
      <x:c r="AC47" s="39"/>
      <x:c r="AD47" s="39"/>
      <x:c r="AE47" s="39"/>
      <x:c r="AF47" s="39"/>
      <x:c r="AG47" s="39"/>
    </x:row>
    <x:row r="48">
      <x:c r="A48" s="197"/>
      <x:c r="B48" s="197"/>
      <x:c r="C48" s="197"/>
      <x:c r="D48" s="197"/>
      <x:c r="E48" s="197"/>
      <x:c r="F48" s="197"/>
      <x:c r="G48" s="198" t="n">
        <x:f>IF(E48="Mensile",F48,IF(E48="Annuale",F48/12,IF(E48="Lifetime",0,IF(E48="Variabile",F48,0))))</x:f>
        <x:v>0</x:v>
      </x:c>
      <x:c r="H48" s="197"/>
      <x:c r="I48" s="197"/>
      <x:c r="J48" s="197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  <x:c r="AA48" s="39"/>
      <x:c r="AB48" s="39"/>
      <x:c r="AC48" s="39"/>
      <x:c r="AD48" s="39"/>
      <x:c r="AE48" s="39"/>
      <x:c r="AF48" s="39"/>
      <x:c r="AG48" s="39"/>
    </x:row>
    <x:row r="49">
      <x:c r="A49" s="197"/>
      <x:c r="B49" s="197"/>
      <x:c r="C49" s="197"/>
      <x:c r="D49" s="197"/>
      <x:c r="E49" s="197"/>
      <x:c r="F49" s="197"/>
      <x:c r="G49" s="198" t="n">
        <x:f>IF(E49="Mensile",F49,IF(E49="Annuale",F49/12,IF(E49="Lifetime",0,IF(E49="Variabile",F49,0))))</x:f>
        <x:v>0</x:v>
      </x:c>
      <x:c r="H49" s="197"/>
      <x:c r="I49" s="197"/>
      <x:c r="J49" s="197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  <x:c r="AA49" s="39"/>
      <x:c r="AB49" s="39"/>
      <x:c r="AC49" s="39"/>
      <x:c r="AD49" s="39"/>
      <x:c r="AE49" s="39"/>
      <x:c r="AF49" s="39"/>
      <x:c r="AG49" s="39"/>
    </x:row>
    <x:row r="50">
      <x:c r="A50" s="197"/>
      <x:c r="B50" s="197"/>
      <x:c r="C50" s="197"/>
      <x:c r="D50" s="197"/>
      <x:c r="E50" s="197"/>
      <x:c r="F50" s="197"/>
      <x:c r="G50" s="198" t="n">
        <x:f>IF(E50="Mensile",F50,IF(E50="Annuale",F50/12,IF(E50="Lifetime",0,IF(E50="Variabile",F50,0))))</x:f>
        <x:v>0</x:v>
      </x:c>
      <x:c r="H50" s="197"/>
      <x:c r="I50" s="197"/>
      <x:c r="J50" s="197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  <x:c r="AA50" s="39"/>
      <x:c r="AB50" s="39"/>
      <x:c r="AC50" s="39"/>
      <x:c r="AD50" s="39"/>
      <x:c r="AE50" s="39"/>
      <x:c r="AF50" s="39"/>
      <x:c r="AG50" s="39"/>
    </x:row>
    <x:row r="51">
      <x:c r="A51" s="197"/>
      <x:c r="B51" s="197"/>
      <x:c r="C51" s="197"/>
      <x:c r="D51" s="197"/>
      <x:c r="E51" s="197"/>
      <x:c r="F51" s="197"/>
      <x:c r="G51" s="198" t="n">
        <x:f>IF(E51="Mensile",F51,IF(E51="Annuale",F51/12,IF(E51="Lifetime",0,IF(E51="Variabile",F51,0))))</x:f>
        <x:v>0</x:v>
      </x:c>
      <x:c r="H51" s="197"/>
      <x:c r="I51" s="197"/>
      <x:c r="J51" s="197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  <x:c r="AA51" s="39"/>
      <x:c r="AB51" s="39"/>
      <x:c r="AC51" s="39"/>
      <x:c r="AD51" s="39"/>
      <x:c r="AE51" s="39"/>
      <x:c r="AF51" s="39"/>
      <x:c r="AG51" s="39"/>
    </x:row>
    <x:row r="52">
      <x:c r="A52" s="197"/>
      <x:c r="B52" s="197"/>
      <x:c r="C52" s="197"/>
      <x:c r="D52" s="197"/>
      <x:c r="E52" s="197"/>
      <x:c r="F52" s="197"/>
      <x:c r="G52" s="198" t="n">
        <x:f>IF(E52="Mensile",F52,IF(E52="Annuale",F52/12,IF(E52="Lifetime",0,IF(E52="Variabile",F52,0))))</x:f>
        <x:v>0</x:v>
      </x:c>
      <x:c r="H52" s="197"/>
      <x:c r="I52" s="197"/>
      <x:c r="J52" s="197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  <x:c r="AA52" s="39"/>
      <x:c r="AB52" s="39"/>
      <x:c r="AC52" s="39"/>
      <x:c r="AD52" s="39"/>
      <x:c r="AE52" s="39"/>
      <x:c r="AF52" s="39"/>
      <x:c r="AG52" s="39"/>
    </x:row>
    <x:row r="53">
      <x:c r="A53" s="197"/>
      <x:c r="B53" s="197"/>
      <x:c r="C53" s="197"/>
      <x:c r="D53" s="197"/>
      <x:c r="E53" s="197"/>
      <x:c r="F53" s="197"/>
      <x:c r="G53" s="198" t="n">
        <x:f>IF(E53="Mensile",F53,IF(E53="Annuale",F53/12,IF(E53="Lifetime",0,IF(E53="Variabile",F53,0))))</x:f>
        <x:v>0</x:v>
      </x:c>
      <x:c r="H53" s="197"/>
      <x:c r="I53" s="197"/>
      <x:c r="J53" s="197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  <x:c r="AA53" s="39"/>
      <x:c r="AB53" s="39"/>
      <x:c r="AC53" s="39"/>
      <x:c r="AD53" s="39"/>
      <x:c r="AE53" s="39"/>
      <x:c r="AF53" s="39"/>
      <x:c r="AG53" s="39"/>
    </x:row>
    <x:row r="54">
      <x:c r="A54" s="197"/>
      <x:c r="B54" s="197"/>
      <x:c r="C54" s="197"/>
      <x:c r="D54" s="197"/>
      <x:c r="E54" s="197"/>
      <x:c r="F54" s="197"/>
      <x:c r="G54" s="198" t="n">
        <x:f>IF(E54="Mensile",F54,IF(E54="Annuale",F54/12,IF(E54="Lifetime",0,IF(E54="Variabile",F54,0))))</x:f>
        <x:v>0</x:v>
      </x:c>
      <x:c r="H54" s="197"/>
      <x:c r="I54" s="197"/>
      <x:c r="J54" s="197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  <x:c r="AA54" s="39"/>
      <x:c r="AB54" s="39"/>
      <x:c r="AC54" s="39"/>
      <x:c r="AD54" s="39"/>
      <x:c r="AE54" s="39"/>
      <x:c r="AF54" s="39"/>
      <x:c r="AG54" s="39"/>
    </x:row>
    <x:row r="55">
      <x:c r="A55" s="197"/>
      <x:c r="B55" s="197"/>
      <x:c r="C55" s="197"/>
      <x:c r="D55" s="197"/>
      <x:c r="E55" s="197"/>
      <x:c r="F55" s="197"/>
      <x:c r="G55" s="198" t="n">
        <x:f>IF(E55="Mensile",F55,IF(E55="Annuale",F55/12,IF(E55="Lifetime",0,IF(E55="Variabile",F55,0))))</x:f>
        <x:v>0</x:v>
      </x:c>
      <x:c r="H55" s="197"/>
      <x:c r="I55" s="197"/>
      <x:c r="J55" s="197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  <x:c r="AA55" s="39"/>
      <x:c r="AB55" s="39"/>
      <x:c r="AC55" s="39"/>
      <x:c r="AD55" s="39"/>
      <x:c r="AE55" s="39"/>
      <x:c r="AF55" s="39"/>
      <x:c r="AG55" s="39"/>
    </x:row>
    <x:row r="56">
      <x:c r="A56" s="197"/>
      <x:c r="B56" s="197"/>
      <x:c r="C56" s="197"/>
      <x:c r="D56" s="197"/>
      <x:c r="E56" s="197"/>
      <x:c r="F56" s="197"/>
      <x:c r="G56" s="198" t="n">
        <x:f>IF(E56="Mensile",F56,IF(E56="Annuale",F56/12,IF(E56="Lifetime",0,IF(E56="Variabile",F56,0))))</x:f>
        <x:v>0</x:v>
      </x:c>
      <x:c r="H56" s="197"/>
      <x:c r="I56" s="197"/>
      <x:c r="J56" s="197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  <x:c r="AA56" s="39"/>
      <x:c r="AB56" s="39"/>
      <x:c r="AC56" s="39"/>
      <x:c r="AD56" s="39"/>
      <x:c r="AE56" s="39"/>
      <x:c r="AF56" s="39"/>
      <x:c r="AG56" s="39"/>
    </x:row>
    <x:row r="57">
      <x:c r="A57" s="197"/>
      <x:c r="B57" s="197"/>
      <x:c r="C57" s="197"/>
      <x:c r="D57" s="197"/>
      <x:c r="E57" s="197"/>
      <x:c r="F57" s="197"/>
      <x:c r="G57" s="198" t="n">
        <x:f>IF(E57="Mensile",F57,IF(E57="Annuale",F57/12,IF(E57="Lifetime",0,IF(E57="Variabile",F57,0))))</x:f>
        <x:v>0</x:v>
      </x:c>
      <x:c r="H57" s="197"/>
      <x:c r="I57" s="197"/>
      <x:c r="J57" s="197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  <x:c r="AA57" s="39"/>
      <x:c r="AB57" s="39"/>
      <x:c r="AC57" s="39"/>
      <x:c r="AD57" s="39"/>
      <x:c r="AE57" s="39"/>
      <x:c r="AF57" s="39"/>
      <x:c r="AG57" s="39"/>
    </x:row>
    <x:row r="58">
      <x:c r="A58" s="197"/>
      <x:c r="B58" s="197"/>
      <x:c r="C58" s="197"/>
      <x:c r="D58" s="197"/>
      <x:c r="E58" s="197"/>
      <x:c r="F58" s="197"/>
      <x:c r="G58" s="198" t="n">
        <x:f>IF(E58="Mensile",F58,IF(E58="Annuale",F58/12,IF(E58="Lifetime",0,IF(E58="Variabile",F58,0))))</x:f>
        <x:v>0</x:v>
      </x:c>
      <x:c r="H58" s="197"/>
      <x:c r="I58" s="197"/>
      <x:c r="J58" s="197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39"/>
      <x:c r="AE58" s="39"/>
      <x:c r="AF58" s="39"/>
      <x:c r="AG58" s="39"/>
    </x:row>
    <x:row r="59">
      <x:c r="A59" s="197"/>
      <x:c r="B59" s="197"/>
      <x:c r="C59" s="197"/>
      <x:c r="D59" s="197"/>
      <x:c r="E59" s="197"/>
      <x:c r="F59" s="197"/>
      <x:c r="G59" s="198" t="n">
        <x:f>IF(E59="Mensile",F59,IF(E59="Annuale",F59/12,IF(E59="Lifetime",0,IF(E59="Variabile",F59,0))))</x:f>
        <x:v>0</x:v>
      </x:c>
      <x:c r="H59" s="197"/>
      <x:c r="I59" s="197"/>
      <x:c r="J59" s="197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  <x:c r="AA59" s="39"/>
      <x:c r="AB59" s="39"/>
      <x:c r="AC59" s="39"/>
      <x:c r="AD59" s="39"/>
      <x:c r="AE59" s="39"/>
      <x:c r="AF59" s="39"/>
      <x:c r="AG59" s="39"/>
    </x:row>
    <x:row r="60">
      <x:c r="A60" s="197"/>
      <x:c r="B60" s="197"/>
      <x:c r="C60" s="197"/>
      <x:c r="D60" s="197"/>
      <x:c r="E60" s="197"/>
      <x:c r="F60" s="197"/>
      <x:c r="G60" s="198" t="n">
        <x:f>IF(E60="Mensile",F60,IF(E60="Annuale",F60/12,IF(E60="Lifetime",0,IF(E60="Variabile",F60,0))))</x:f>
        <x:v>0</x:v>
      </x:c>
      <x:c r="H60" s="197"/>
      <x:c r="I60" s="197"/>
      <x:c r="J60" s="197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  <x:c r="AA60" s="39"/>
      <x:c r="AB60" s="39"/>
      <x:c r="AC60" s="39"/>
      <x:c r="AD60" s="39"/>
      <x:c r="AE60" s="39"/>
      <x:c r="AF60" s="39"/>
      <x:c r="AG60" s="39"/>
    </x:row>
    <x:row r="61">
      <x:c r="A61" s="197"/>
      <x:c r="B61" s="197"/>
      <x:c r="C61" s="197"/>
      <x:c r="D61" s="197"/>
      <x:c r="E61" s="197"/>
      <x:c r="F61" s="197"/>
      <x:c r="G61" s="198" t="n">
        <x:f>IF(E61="Mensile",F61,IF(E61="Annuale",F61/12,IF(E61="Lifetime",0,IF(E61="Variabile",F61,0))))</x:f>
        <x:v>0</x:v>
      </x:c>
      <x:c r="H61" s="197"/>
      <x:c r="I61" s="197"/>
      <x:c r="J61" s="197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  <x:c r="AA61" s="39"/>
      <x:c r="AB61" s="39"/>
      <x:c r="AC61" s="39"/>
      <x:c r="AD61" s="39"/>
      <x:c r="AE61" s="39"/>
      <x:c r="AF61" s="39"/>
      <x:c r="AG61" s="39"/>
    </x:row>
    <x:row r="62">
      <x:c r="A62" s="197"/>
      <x:c r="B62" s="197"/>
      <x:c r="C62" s="197"/>
      <x:c r="D62" s="197"/>
      <x:c r="E62" s="197"/>
      <x:c r="F62" s="197"/>
      <x:c r="G62" s="198" t="n">
        <x:f>IF(E62="Mensile",F62,IF(E62="Annuale",F62/12,IF(E62="Lifetime",0,IF(E62="Variabile",F62,0))))</x:f>
        <x:v>0</x:v>
      </x:c>
      <x:c r="H62" s="197"/>
      <x:c r="I62" s="197"/>
      <x:c r="J62" s="197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  <x:c r="AA62" s="39"/>
      <x:c r="AB62" s="39"/>
      <x:c r="AC62" s="39"/>
      <x:c r="AD62" s="39"/>
      <x:c r="AE62" s="39"/>
      <x:c r="AF62" s="39"/>
      <x:c r="AG62" s="39"/>
    </x:row>
    <x:row r="63">
      <x:c r="A63" s="197"/>
      <x:c r="B63" s="197"/>
      <x:c r="C63" s="197"/>
      <x:c r="D63" s="197"/>
      <x:c r="E63" s="197"/>
      <x:c r="F63" s="197"/>
      <x:c r="G63" s="198" t="n">
        <x:f>IF(E63="Mensile",F63,IF(E63="Annuale",F63/12,IF(E63="Lifetime",0,IF(E63="Variabile",F63,0))))</x:f>
        <x:v>0</x:v>
      </x:c>
      <x:c r="H63" s="197"/>
      <x:c r="I63" s="197"/>
      <x:c r="J63" s="197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  <x:c r="AA63" s="39"/>
      <x:c r="AB63" s="39"/>
      <x:c r="AC63" s="39"/>
      <x:c r="AD63" s="39"/>
      <x:c r="AE63" s="39"/>
      <x:c r="AF63" s="39"/>
      <x:c r="AG63" s="39"/>
    </x:row>
    <x:row r="64">
      <x:c r="A64" s="197"/>
      <x:c r="B64" s="197"/>
      <x:c r="C64" s="197"/>
      <x:c r="D64" s="197"/>
      <x:c r="E64" s="197"/>
      <x:c r="F64" s="197"/>
      <x:c r="G64" s="198" t="n">
        <x:f>IF(E64="Mensile",F64,IF(E64="Annuale",F64/12,IF(E64="Lifetime",0,IF(E64="Variabile",F64,0))))</x:f>
        <x:v>0</x:v>
      </x:c>
      <x:c r="H64" s="197"/>
      <x:c r="I64" s="197"/>
      <x:c r="J64" s="197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  <x:c r="AA64" s="39"/>
      <x:c r="AB64" s="39"/>
      <x:c r="AC64" s="39"/>
      <x:c r="AD64" s="39"/>
      <x:c r="AE64" s="39"/>
      <x:c r="AF64" s="39"/>
      <x:c r="AG64" s="39"/>
    </x:row>
    <x:row r="65">
      <x:c r="A65" s="197"/>
      <x:c r="B65" s="197"/>
      <x:c r="C65" s="197"/>
      <x:c r="D65" s="197"/>
      <x:c r="E65" s="197"/>
      <x:c r="F65" s="197"/>
      <x:c r="G65" s="198" t="n">
        <x:f>IF(E65="Mensile",F65,IF(E65="Annuale",F65/12,IF(E65="Lifetime",0,IF(E65="Variabile",F65,0))))</x:f>
        <x:v>0</x:v>
      </x:c>
      <x:c r="H65" s="197"/>
      <x:c r="I65" s="197"/>
      <x:c r="J65" s="197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  <x:c r="AA65" s="39"/>
      <x:c r="AB65" s="39"/>
      <x:c r="AC65" s="39"/>
      <x:c r="AD65" s="39"/>
      <x:c r="AE65" s="39"/>
      <x:c r="AF65" s="39"/>
      <x:c r="AG65" s="39"/>
    </x:row>
    <x:row r="66">
      <x:c r="A66" s="197"/>
      <x:c r="B66" s="197"/>
      <x:c r="C66" s="197"/>
      <x:c r="D66" s="197"/>
      <x:c r="E66" s="197"/>
      <x:c r="F66" s="197"/>
      <x:c r="G66" s="198" t="n">
        <x:f>IF(E66="Mensile",F66,IF(E66="Annuale",F66/12,IF(E66="Lifetime",0,IF(E66="Variabile",F66,0))))</x:f>
        <x:v>0</x:v>
      </x:c>
      <x:c r="H66" s="197"/>
      <x:c r="I66" s="197"/>
      <x:c r="J66" s="197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  <x:c r="AA66" s="39"/>
      <x:c r="AB66" s="39"/>
      <x:c r="AC66" s="39"/>
      <x:c r="AD66" s="39"/>
      <x:c r="AE66" s="39"/>
      <x:c r="AF66" s="39"/>
      <x:c r="AG66" s="39"/>
    </x:row>
    <x:row r="67">
      <x:c r="A67" s="197"/>
      <x:c r="B67" s="197"/>
      <x:c r="C67" s="197"/>
      <x:c r="D67" s="197"/>
      <x:c r="E67" s="197"/>
      <x:c r="F67" s="197"/>
      <x:c r="G67" s="198" t="n">
        <x:f>IF(E67="Mensile",F67,IF(E67="Annuale",F67/12,IF(E67="Lifetime",0,IF(E67="Variabile",F67,0))))</x:f>
        <x:v>0</x:v>
      </x:c>
      <x:c r="H67" s="197"/>
      <x:c r="I67" s="197"/>
      <x:c r="J67" s="197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  <x:c r="AA67" s="39"/>
      <x:c r="AB67" s="39"/>
      <x:c r="AC67" s="39"/>
      <x:c r="AD67" s="39"/>
      <x:c r="AE67" s="39"/>
      <x:c r="AF67" s="39"/>
      <x:c r="AG67" s="39"/>
    </x:row>
    <x:row r="68">
      <x:c r="A68" s="197"/>
      <x:c r="B68" s="197"/>
      <x:c r="C68" s="197"/>
      <x:c r="D68" s="197"/>
      <x:c r="E68" s="197"/>
      <x:c r="F68" s="197"/>
      <x:c r="G68" s="198" t="n">
        <x:f>IF(E68="Mensile",F68,IF(E68="Annuale",F68/12,IF(E68="Lifetime",0,IF(E68="Variabile",F68,0))))</x:f>
        <x:v>0</x:v>
      </x:c>
      <x:c r="H68" s="197"/>
      <x:c r="I68" s="197"/>
      <x:c r="J68" s="197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  <x:c r="AA68" s="39"/>
      <x:c r="AB68" s="39"/>
      <x:c r="AC68" s="39"/>
      <x:c r="AD68" s="39"/>
      <x:c r="AE68" s="39"/>
      <x:c r="AF68" s="39"/>
      <x:c r="AG68" s="39"/>
    </x:row>
    <x:row r="69">
      <x:c r="A69" s="197"/>
      <x:c r="B69" s="197"/>
      <x:c r="C69" s="197"/>
      <x:c r="D69" s="197"/>
      <x:c r="E69" s="197"/>
      <x:c r="F69" s="197"/>
      <x:c r="G69" s="198" t="n">
        <x:f>IF(E69="Mensile",F69,IF(E69="Annuale",F69/12,IF(E69="Lifetime",0,IF(E69="Variabile",F69,0))))</x:f>
        <x:v>0</x:v>
      </x:c>
      <x:c r="H69" s="197"/>
      <x:c r="I69" s="197"/>
      <x:c r="J69" s="197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  <x:c r="AA69" s="39"/>
      <x:c r="AB69" s="39"/>
      <x:c r="AC69" s="39"/>
      <x:c r="AD69" s="39"/>
      <x:c r="AE69" s="39"/>
      <x:c r="AF69" s="39"/>
      <x:c r="AG69" s="39"/>
    </x:row>
    <x:row r="70">
      <x:c r="A70" s="197"/>
      <x:c r="B70" s="197"/>
      <x:c r="C70" s="197"/>
      <x:c r="D70" s="197"/>
      <x:c r="E70" s="197"/>
      <x:c r="F70" s="197"/>
      <x:c r="G70" s="198" t="n">
        <x:f>IF(E70="Mensile",F70,IF(E70="Annuale",F70/12,IF(E70="Lifetime",0,IF(E70="Variabile",F70,0))))</x:f>
        <x:v>0</x:v>
      </x:c>
      <x:c r="H70" s="197"/>
      <x:c r="I70" s="197"/>
      <x:c r="J70" s="197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  <x:c r="AA70" s="39"/>
      <x:c r="AB70" s="39"/>
      <x:c r="AC70" s="39"/>
      <x:c r="AD70" s="39"/>
      <x:c r="AE70" s="39"/>
      <x:c r="AF70" s="39"/>
      <x:c r="AG70" s="39"/>
    </x:row>
    <x:row r="71">
      <x:c r="A71" s="197"/>
      <x:c r="B71" s="197"/>
      <x:c r="C71" s="197"/>
      <x:c r="D71" s="197"/>
      <x:c r="E71" s="197"/>
      <x:c r="F71" s="197"/>
      <x:c r="G71" s="198" t="n">
        <x:f>IF(E71="Mensile",F71,IF(E71="Annuale",F71/12,IF(E71="Lifetime",0,IF(E71="Variabile",F71,0))))</x:f>
        <x:v>0</x:v>
      </x:c>
      <x:c r="H71" s="197"/>
      <x:c r="I71" s="197"/>
      <x:c r="J71" s="197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  <x:c r="AA71" s="39"/>
      <x:c r="AB71" s="39"/>
      <x:c r="AC71" s="39"/>
      <x:c r="AD71" s="39"/>
      <x:c r="AE71" s="39"/>
      <x:c r="AF71" s="39"/>
      <x:c r="AG71" s="39"/>
    </x:row>
    <x:row r="72">
      <x:c r="A72" s="197"/>
      <x:c r="B72" s="197"/>
      <x:c r="C72" s="197"/>
      <x:c r="D72" s="197"/>
      <x:c r="E72" s="197"/>
      <x:c r="F72" s="197"/>
      <x:c r="G72" s="198" t="n">
        <x:f>IF(E72="Mensile",F72,IF(E72="Annuale",F72/12,IF(E72="Lifetime",0,IF(E72="Variabile",F72,0))))</x:f>
        <x:v>0</x:v>
      </x:c>
      <x:c r="H72" s="197"/>
      <x:c r="I72" s="197"/>
      <x:c r="J72" s="197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  <x:c r="AA72" s="39"/>
      <x:c r="AB72" s="39"/>
      <x:c r="AC72" s="39"/>
      <x:c r="AD72" s="39"/>
      <x:c r="AE72" s="39"/>
      <x:c r="AF72" s="39"/>
      <x:c r="AG72" s="39"/>
    </x:row>
    <x:row r="73">
      <x:c r="A73" s="197"/>
      <x:c r="B73" s="197"/>
      <x:c r="C73" s="197"/>
      <x:c r="D73" s="197"/>
      <x:c r="E73" s="197"/>
      <x:c r="F73" s="197"/>
      <x:c r="G73" s="198" t="n">
        <x:f>IF(E73="Mensile",F73,IF(E73="Annuale",F73/12,IF(E73="Lifetime",0,IF(E73="Variabile",F73,0))))</x:f>
        <x:v>0</x:v>
      </x:c>
      <x:c r="H73" s="197"/>
      <x:c r="I73" s="197"/>
      <x:c r="J73" s="197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  <x:c r="AA73" s="39"/>
      <x:c r="AB73" s="39"/>
      <x:c r="AC73" s="39"/>
      <x:c r="AD73" s="39"/>
      <x:c r="AE73" s="39"/>
      <x:c r="AF73" s="39"/>
      <x:c r="AG73" s="39"/>
    </x:row>
    <x:row r="74">
      <x:c r="A74" s="197"/>
      <x:c r="B74" s="197"/>
      <x:c r="C74" s="197"/>
      <x:c r="D74" s="197"/>
      <x:c r="E74" s="197"/>
      <x:c r="F74" s="197"/>
      <x:c r="G74" s="198" t="n">
        <x:f>IF(E74="Mensile",F74,IF(E74="Annuale",F74/12,IF(E74="Lifetime",0,IF(E74="Variabile",F74,0))))</x:f>
        <x:v>0</x:v>
      </x:c>
      <x:c r="H74" s="197"/>
      <x:c r="I74" s="197"/>
      <x:c r="J74" s="197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  <x:c r="AA74" s="39"/>
      <x:c r="AB74" s="39"/>
      <x:c r="AC74" s="39"/>
      <x:c r="AD74" s="39"/>
      <x:c r="AE74" s="39"/>
      <x:c r="AF74" s="39"/>
      <x:c r="AG74" s="39"/>
    </x:row>
    <x:row r="75">
      <x:c r="A75" s="197"/>
      <x:c r="B75" s="197"/>
      <x:c r="C75" s="197"/>
      <x:c r="D75" s="197"/>
      <x:c r="E75" s="197"/>
      <x:c r="F75" s="197"/>
      <x:c r="G75" s="198" t="n">
        <x:f>IF(E75="Mensile",F75,IF(E75="Annuale",F75/12,IF(E75="Lifetime",0,IF(E75="Variabile",F75,0))))</x:f>
        <x:v>0</x:v>
      </x:c>
      <x:c r="H75" s="197"/>
      <x:c r="I75" s="197"/>
      <x:c r="J75" s="197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  <x:c r="AA75" s="39"/>
      <x:c r="AB75" s="39"/>
      <x:c r="AC75" s="39"/>
      <x:c r="AD75" s="39"/>
      <x:c r="AE75" s="39"/>
      <x:c r="AF75" s="39"/>
      <x:c r="AG75" s="39"/>
    </x:row>
    <x:row r="76">
      <x:c r="A76" s="197"/>
      <x:c r="B76" s="197"/>
      <x:c r="C76" s="197"/>
      <x:c r="D76" s="197"/>
      <x:c r="E76" s="197"/>
      <x:c r="F76" s="197"/>
      <x:c r="G76" s="198" t="n">
        <x:f>IF(E76="Mensile",F76,IF(E76="Annuale",F76/12,IF(E76="Lifetime",0,IF(E76="Variabile",F76,0))))</x:f>
        <x:v>0</x:v>
      </x:c>
      <x:c r="H76" s="197"/>
      <x:c r="I76" s="197"/>
      <x:c r="J76" s="197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  <x:c r="AA76" s="39"/>
      <x:c r="AB76" s="39"/>
      <x:c r="AC76" s="39"/>
      <x:c r="AD76" s="39"/>
      <x:c r="AE76" s="39"/>
      <x:c r="AF76" s="39"/>
      <x:c r="AG76" s="39"/>
    </x:row>
    <x:row r="77">
      <x:c r="A77" s="197"/>
      <x:c r="B77" s="197"/>
      <x:c r="C77" s="197"/>
      <x:c r="D77" s="197"/>
      <x:c r="E77" s="197"/>
      <x:c r="F77" s="197"/>
      <x:c r="G77" s="198" t="n">
        <x:f>IF(E77="Mensile",F77,IF(E77="Annuale",F77/12,IF(E77="Lifetime",0,IF(E77="Variabile",F77,0))))</x:f>
        <x:v>0</x:v>
      </x:c>
      <x:c r="H77" s="197"/>
      <x:c r="I77" s="197"/>
      <x:c r="J77" s="197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  <x:c r="AA77" s="39"/>
      <x:c r="AB77" s="39"/>
      <x:c r="AC77" s="39"/>
      <x:c r="AD77" s="39"/>
      <x:c r="AE77" s="39"/>
      <x:c r="AF77" s="39"/>
      <x:c r="AG77" s="39"/>
    </x:row>
    <x:row r="78">
      <x:c r="A78" s="197"/>
      <x:c r="B78" s="197"/>
      <x:c r="C78" s="197"/>
      <x:c r="D78" s="197"/>
      <x:c r="E78" s="197"/>
      <x:c r="F78" s="197"/>
      <x:c r="G78" s="198" t="n">
        <x:f>IF(E78="Mensile",F78,IF(E78="Annuale",F78/12,IF(E78="Lifetime",0,IF(E78="Variabile",F78,0))))</x:f>
        <x:v>0</x:v>
      </x:c>
      <x:c r="H78" s="197"/>
      <x:c r="I78" s="197"/>
      <x:c r="J78" s="197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  <x:c r="AA78" s="39"/>
      <x:c r="AB78" s="39"/>
      <x:c r="AC78" s="39"/>
      <x:c r="AD78" s="39"/>
      <x:c r="AE78" s="39"/>
      <x:c r="AF78" s="39"/>
      <x:c r="AG78" s="39"/>
    </x:row>
    <x:row r="79">
      <x:c r="A79" s="197"/>
      <x:c r="B79" s="197"/>
      <x:c r="C79" s="197"/>
      <x:c r="D79" s="197"/>
      <x:c r="E79" s="197"/>
      <x:c r="F79" s="197"/>
      <x:c r="G79" s="198" t="n">
        <x:f>IF(E79="Mensile",F79,IF(E79="Annuale",F79/12,IF(E79="Lifetime",0,IF(E79="Variabile",F79,0))))</x:f>
        <x:v>0</x:v>
      </x:c>
      <x:c r="H79" s="197"/>
      <x:c r="I79" s="197"/>
      <x:c r="J79" s="197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  <x:c r="AA79" s="39"/>
      <x:c r="AB79" s="39"/>
      <x:c r="AC79" s="39"/>
      <x:c r="AD79" s="39"/>
      <x:c r="AE79" s="39"/>
      <x:c r="AF79" s="39"/>
      <x:c r="AG79" s="39"/>
    </x:row>
    <x:row r="80">
      <x:c r="A80" s="197"/>
      <x:c r="B80" s="197"/>
      <x:c r="C80" s="197"/>
      <x:c r="D80" s="197"/>
      <x:c r="E80" s="197"/>
      <x:c r="F80" s="197"/>
      <x:c r="G80" s="198" t="n">
        <x:f>IF(E80="Mensile",F80,IF(E80="Annuale",F80/12,IF(E80="Lifetime",0,IF(E80="Variabile",F80,0))))</x:f>
        <x:v>0</x:v>
      </x:c>
      <x:c r="H80" s="197"/>
      <x:c r="I80" s="197"/>
      <x:c r="J80" s="197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  <x:c r="AA80" s="39"/>
      <x:c r="AB80" s="39"/>
      <x:c r="AC80" s="39"/>
      <x:c r="AD80" s="39"/>
      <x:c r="AE80" s="39"/>
      <x:c r="AF80" s="39"/>
      <x:c r="AG80" s="39"/>
    </x:row>
    <x:row r="81">
      <x:c r="A81" s="197"/>
      <x:c r="B81" s="197"/>
      <x:c r="C81" s="197"/>
      <x:c r="D81" s="197"/>
      <x:c r="E81" s="197"/>
      <x:c r="F81" s="197"/>
      <x:c r="G81" s="198" t="n">
        <x:f>IF(E81="Mensile",F81,IF(E81="Annuale",F81/12,IF(E81="Lifetime",0,IF(E81="Variabile",F81,0))))</x:f>
        <x:v>0</x:v>
      </x:c>
      <x:c r="H81" s="197"/>
      <x:c r="I81" s="197"/>
      <x:c r="J81" s="197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  <x:c r="AA81" s="39"/>
      <x:c r="AB81" s="39"/>
      <x:c r="AC81" s="39"/>
      <x:c r="AD81" s="39"/>
      <x:c r="AE81" s="39"/>
      <x:c r="AF81" s="39"/>
      <x:c r="AG81" s="39"/>
    </x:row>
    <x:row r="82">
      <x:c r="A82" s="197"/>
      <x:c r="B82" s="197"/>
      <x:c r="C82" s="197"/>
      <x:c r="D82" s="197"/>
      <x:c r="E82" s="197"/>
      <x:c r="F82" s="197"/>
      <x:c r="G82" s="198" t="n">
        <x:f>IF(E82="Mensile",F82,IF(E82="Annuale",F82/12,IF(E82="Lifetime",0,IF(E82="Variabile",F82,0))))</x:f>
        <x:v>0</x:v>
      </x:c>
      <x:c r="H82" s="197"/>
      <x:c r="I82" s="197"/>
      <x:c r="J82" s="197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  <x:c r="AA82" s="39"/>
      <x:c r="AB82" s="39"/>
      <x:c r="AC82" s="39"/>
      <x:c r="AD82" s="39"/>
      <x:c r="AE82" s="39"/>
      <x:c r="AF82" s="39"/>
      <x:c r="AG82" s="39"/>
    </x:row>
    <x:row r="83">
      <x:c r="A83" s="197"/>
      <x:c r="B83" s="197"/>
      <x:c r="C83" s="197"/>
      <x:c r="D83" s="197"/>
      <x:c r="E83" s="197"/>
      <x:c r="F83" s="197"/>
      <x:c r="G83" s="198" t="n">
        <x:f>IF(E83="Mensile",F83,IF(E83="Annuale",F83/12,IF(E83="Lifetime",0,IF(E83="Variabile",F83,0))))</x:f>
        <x:v>0</x:v>
      </x:c>
      <x:c r="H83" s="197"/>
      <x:c r="I83" s="197"/>
      <x:c r="J83" s="197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  <x:c r="AA83" s="39"/>
      <x:c r="AB83" s="39"/>
      <x:c r="AC83" s="39"/>
      <x:c r="AD83" s="39"/>
      <x:c r="AE83" s="39"/>
      <x:c r="AF83" s="39"/>
      <x:c r="AG83" s="39"/>
    </x:row>
    <x:row r="84">
      <x:c r="A84" s="197"/>
      <x:c r="B84" s="197"/>
      <x:c r="C84" s="197"/>
      <x:c r="D84" s="197"/>
      <x:c r="E84" s="197"/>
      <x:c r="F84" s="197"/>
      <x:c r="G84" s="198" t="n">
        <x:f>IF(E84="Mensile",F84,IF(E84="Annuale",F84/12,IF(E84="Lifetime",0,IF(E84="Variabile",F84,0))))</x:f>
        <x:v>0</x:v>
      </x:c>
      <x:c r="H84" s="197"/>
      <x:c r="I84" s="197"/>
      <x:c r="J84" s="197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  <x:c r="AA84" s="39"/>
      <x:c r="AB84" s="39"/>
      <x:c r="AC84" s="39"/>
      <x:c r="AD84" s="39"/>
      <x:c r="AE84" s="39"/>
      <x:c r="AF84" s="39"/>
      <x:c r="AG84" s="39"/>
    </x:row>
    <x:row r="85">
      <x:c r="A85" s="197"/>
      <x:c r="B85" s="197"/>
      <x:c r="C85" s="197"/>
      <x:c r="D85" s="197"/>
      <x:c r="E85" s="197"/>
      <x:c r="F85" s="197"/>
      <x:c r="G85" s="198" t="n">
        <x:f>IF(E85="Mensile",F85,IF(E85="Annuale",F85/12,IF(E85="Lifetime",0,IF(E85="Variabile",F85,0))))</x:f>
        <x:v>0</x:v>
      </x:c>
      <x:c r="H85" s="197"/>
      <x:c r="I85" s="197"/>
      <x:c r="J85" s="197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  <x:c r="AA85" s="39"/>
      <x:c r="AB85" s="39"/>
      <x:c r="AC85" s="39"/>
      <x:c r="AD85" s="39"/>
      <x:c r="AE85" s="39"/>
      <x:c r="AF85" s="39"/>
      <x:c r="AG85" s="39"/>
    </x:row>
    <x:row r="86">
      <x:c r="A86" s="197"/>
      <x:c r="B86" s="197"/>
      <x:c r="C86" s="197"/>
      <x:c r="D86" s="197"/>
      <x:c r="E86" s="197"/>
      <x:c r="F86" s="197"/>
      <x:c r="G86" s="198" t="n">
        <x:f>IF(E86="Mensile",F86,IF(E86="Annuale",F86/12,IF(E86="Lifetime",0,IF(E86="Variabile",F86,0))))</x:f>
        <x:v>0</x:v>
      </x:c>
      <x:c r="H86" s="197"/>
      <x:c r="I86" s="197"/>
      <x:c r="J86" s="197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  <x:c r="AA86" s="39"/>
      <x:c r="AB86" s="39"/>
      <x:c r="AC86" s="39"/>
      <x:c r="AD86" s="39"/>
      <x:c r="AE86" s="39"/>
      <x:c r="AF86" s="39"/>
      <x:c r="AG86" s="39"/>
    </x:row>
    <x:row r="87">
      <x:c r="A87" s="197"/>
      <x:c r="B87" s="197"/>
      <x:c r="C87" s="197"/>
      <x:c r="D87" s="197"/>
      <x:c r="E87" s="197"/>
      <x:c r="F87" s="197"/>
      <x:c r="G87" s="198" t="n">
        <x:f>IF(E87="Mensile",F87,IF(E87="Annuale",F87/12,IF(E87="Lifetime",0,IF(E87="Variabile",F87,0))))</x:f>
        <x:v>0</x:v>
      </x:c>
      <x:c r="H87" s="197"/>
      <x:c r="I87" s="197"/>
      <x:c r="J87" s="197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  <x:c r="AA87" s="39"/>
      <x:c r="AB87" s="39"/>
      <x:c r="AC87" s="39"/>
      <x:c r="AD87" s="39"/>
      <x:c r="AE87" s="39"/>
      <x:c r="AF87" s="39"/>
      <x:c r="AG87" s="39"/>
    </x:row>
    <x:row r="88">
      <x:c r="A88" s="197"/>
      <x:c r="B88" s="197"/>
      <x:c r="C88" s="197"/>
      <x:c r="D88" s="197"/>
      <x:c r="E88" s="197"/>
      <x:c r="F88" s="197"/>
      <x:c r="G88" s="198" t="n">
        <x:f>IF(E88="Mensile",F88,IF(E88="Annuale",F88/12,IF(E88="Lifetime",0,IF(E88="Variabile",F88,0))))</x:f>
        <x:v>0</x:v>
      </x:c>
      <x:c r="H88" s="197"/>
      <x:c r="I88" s="197"/>
      <x:c r="J88" s="197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  <x:c r="AA88" s="39"/>
      <x:c r="AB88" s="39"/>
      <x:c r="AC88" s="39"/>
      <x:c r="AD88" s="39"/>
      <x:c r="AE88" s="39"/>
      <x:c r="AF88" s="39"/>
      <x:c r="AG88" s="39"/>
    </x:row>
    <x:row r="89">
      <x:c r="A89" s="197"/>
      <x:c r="B89" s="197"/>
      <x:c r="C89" s="197"/>
      <x:c r="D89" s="197"/>
      <x:c r="E89" s="197"/>
      <x:c r="F89" s="197"/>
      <x:c r="G89" s="198" t="n">
        <x:f>IF(E89="Mensile",F89,IF(E89="Annuale",F89/12,IF(E89="Lifetime",0,IF(E89="Variabile",F89,0))))</x:f>
        <x:v>0</x:v>
      </x:c>
      <x:c r="H89" s="197"/>
      <x:c r="I89" s="197"/>
      <x:c r="J89" s="197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  <x:c r="AA89" s="39"/>
      <x:c r="AB89" s="39"/>
      <x:c r="AC89" s="39"/>
      <x:c r="AD89" s="39"/>
      <x:c r="AE89" s="39"/>
      <x:c r="AF89" s="39"/>
      <x:c r="AG89" s="39"/>
    </x:row>
    <x:row r="90">
      <x:c r="A90" s="197"/>
      <x:c r="B90" s="197"/>
      <x:c r="C90" s="197"/>
      <x:c r="D90" s="197"/>
      <x:c r="E90" s="197"/>
      <x:c r="F90" s="197"/>
      <x:c r="G90" s="198" t="n">
        <x:f>IF(E90="Mensile",F90,IF(E90="Annuale",F90/12,IF(E90="Lifetime",0,IF(E90="Variabile",F90,0))))</x:f>
        <x:v>0</x:v>
      </x:c>
      <x:c r="H90" s="197"/>
      <x:c r="I90" s="197"/>
      <x:c r="J90" s="197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  <x:c r="AA90" s="39"/>
      <x:c r="AB90" s="39"/>
      <x:c r="AC90" s="39"/>
      <x:c r="AD90" s="39"/>
      <x:c r="AE90" s="39"/>
      <x:c r="AF90" s="39"/>
      <x:c r="AG90" s="39"/>
    </x:row>
    <x:row r="91">
      <x:c r="A91" s="197"/>
      <x:c r="B91" s="197"/>
      <x:c r="C91" s="197"/>
      <x:c r="D91" s="197"/>
      <x:c r="E91" s="197"/>
      <x:c r="F91" s="197"/>
      <x:c r="G91" s="198" t="n">
        <x:f>IF(E91="Mensile",F91,IF(E91="Annuale",F91/12,IF(E91="Lifetime",0,IF(E91="Variabile",F91,0))))</x:f>
        <x:v>0</x:v>
      </x:c>
      <x:c r="H91" s="197"/>
      <x:c r="I91" s="197"/>
      <x:c r="J91" s="197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  <x:c r="AA91" s="39"/>
      <x:c r="AB91" s="39"/>
      <x:c r="AC91" s="39"/>
      <x:c r="AD91" s="39"/>
      <x:c r="AE91" s="39"/>
      <x:c r="AF91" s="39"/>
      <x:c r="AG91" s="39"/>
    </x:row>
    <x:row r="92">
      <x:c r="A92" s="197"/>
      <x:c r="B92" s="197"/>
      <x:c r="C92" s="197"/>
      <x:c r="D92" s="197"/>
      <x:c r="E92" s="197"/>
      <x:c r="F92" s="197"/>
      <x:c r="G92" s="198" t="n">
        <x:f>IF(E92="Mensile",F92,IF(E92="Annuale",F92/12,IF(E92="Lifetime",0,IF(E92="Variabile",F92,0))))</x:f>
        <x:v>0</x:v>
      </x:c>
      <x:c r="H92" s="197"/>
      <x:c r="I92" s="197"/>
      <x:c r="J92" s="197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  <x:c r="AA92" s="39"/>
      <x:c r="AB92" s="39"/>
      <x:c r="AC92" s="39"/>
      <x:c r="AD92" s="39"/>
      <x:c r="AE92" s="39"/>
      <x:c r="AF92" s="39"/>
      <x:c r="AG92" s="39"/>
    </x:row>
    <x:row r="93">
      <x:c r="A93" s="197"/>
      <x:c r="B93" s="197"/>
      <x:c r="C93" s="197"/>
      <x:c r="D93" s="197"/>
      <x:c r="E93" s="197"/>
      <x:c r="F93" s="197"/>
      <x:c r="G93" s="198" t="n">
        <x:f>IF(E93="Mensile",F93,IF(E93="Annuale",F93/12,IF(E93="Lifetime",0,IF(E93="Variabile",F93,0))))</x:f>
        <x:v>0</x:v>
      </x:c>
      <x:c r="H93" s="197"/>
      <x:c r="I93" s="197"/>
      <x:c r="J93" s="197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  <x:c r="AA93" s="39"/>
      <x:c r="AB93" s="39"/>
      <x:c r="AC93" s="39"/>
      <x:c r="AD93" s="39"/>
      <x:c r="AE93" s="39"/>
      <x:c r="AF93" s="39"/>
      <x:c r="AG93" s="39"/>
    </x:row>
    <x:row r="94">
      <x:c r="A94" s="197"/>
      <x:c r="B94" s="197"/>
      <x:c r="C94" s="197"/>
      <x:c r="D94" s="197"/>
      <x:c r="E94" s="197"/>
      <x:c r="F94" s="197"/>
      <x:c r="G94" s="198" t="n">
        <x:f>IF(E94="Mensile",F94,IF(E94="Annuale",F94/12,IF(E94="Lifetime",0,IF(E94="Variabile",F94,0))))</x:f>
        <x:v>0</x:v>
      </x:c>
      <x:c r="H94" s="197"/>
      <x:c r="I94" s="197"/>
      <x:c r="J94" s="197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  <x:c r="AA94" s="39"/>
      <x:c r="AB94" s="39"/>
      <x:c r="AC94" s="39"/>
      <x:c r="AD94" s="39"/>
      <x:c r="AE94" s="39"/>
      <x:c r="AF94" s="39"/>
      <x:c r="AG94" s="39"/>
    </x:row>
    <x:row r="95">
      <x:c r="A95" s="197"/>
      <x:c r="B95" s="197"/>
      <x:c r="C95" s="197"/>
      <x:c r="D95" s="197"/>
      <x:c r="E95" s="197"/>
      <x:c r="F95" s="197"/>
      <x:c r="G95" s="198" t="n">
        <x:f>IF(E95="Mensile",F95,IF(E95="Annuale",F95/12,IF(E95="Lifetime",0,IF(E95="Variabile",F95,0))))</x:f>
        <x:v>0</x:v>
      </x:c>
      <x:c r="H95" s="197"/>
      <x:c r="I95" s="197"/>
      <x:c r="J95" s="197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  <x:c r="AA95" s="39"/>
      <x:c r="AB95" s="39"/>
      <x:c r="AC95" s="39"/>
      <x:c r="AD95" s="39"/>
      <x:c r="AE95" s="39"/>
      <x:c r="AF95" s="39"/>
      <x:c r="AG95" s="39"/>
    </x:row>
    <x:row r="96">
      <x:c r="A96" s="197"/>
      <x:c r="B96" s="197"/>
      <x:c r="C96" s="197"/>
      <x:c r="D96" s="197"/>
      <x:c r="E96" s="197"/>
      <x:c r="F96" s="197"/>
      <x:c r="G96" s="198" t="n">
        <x:f>IF(E96="Mensile",F96,IF(E96="Annuale",F96/12,IF(E96="Lifetime",0,IF(E96="Variabile",F96,0))))</x:f>
        <x:v>0</x:v>
      </x:c>
      <x:c r="H96" s="197"/>
      <x:c r="I96" s="197"/>
      <x:c r="J96" s="197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  <x:c r="AA96" s="39"/>
      <x:c r="AB96" s="39"/>
      <x:c r="AC96" s="39"/>
      <x:c r="AD96" s="39"/>
      <x:c r="AE96" s="39"/>
      <x:c r="AF96" s="39"/>
      <x:c r="AG96" s="39"/>
    </x:row>
    <x:row r="97">
      <x:c r="A97" s="197"/>
      <x:c r="B97" s="197"/>
      <x:c r="C97" s="197"/>
      <x:c r="D97" s="197"/>
      <x:c r="E97" s="197"/>
      <x:c r="F97" s="197"/>
      <x:c r="G97" s="198" t="n">
        <x:f>IF(E97="Mensile",F97,IF(E97="Annuale",F97/12,IF(E97="Lifetime",0,IF(E97="Variabile",F97,0))))</x:f>
        <x:v>0</x:v>
      </x:c>
      <x:c r="H97" s="197"/>
      <x:c r="I97" s="197"/>
      <x:c r="J97" s="197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  <x:c r="AA97" s="39"/>
      <x:c r="AB97" s="39"/>
      <x:c r="AC97" s="39"/>
      <x:c r="AD97" s="39"/>
      <x:c r="AE97" s="39"/>
      <x:c r="AF97" s="39"/>
      <x:c r="AG97" s="39"/>
    </x:row>
    <x:row r="98">
      <x:c r="A98" s="197"/>
      <x:c r="B98" s="197"/>
      <x:c r="C98" s="197"/>
      <x:c r="D98" s="197"/>
      <x:c r="E98" s="197"/>
      <x:c r="F98" s="197"/>
      <x:c r="G98" s="198" t="n">
        <x:f>IF(E98="Mensile",F98,IF(E98="Annuale",F98/12,IF(E98="Lifetime",0,IF(E98="Variabile",F98,0))))</x:f>
        <x:v>0</x:v>
      </x:c>
      <x:c r="H98" s="197"/>
      <x:c r="I98" s="197"/>
      <x:c r="J98" s="197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  <x:c r="AA98" s="39"/>
      <x:c r="AB98" s="39"/>
      <x:c r="AC98" s="39"/>
      <x:c r="AD98" s="39"/>
      <x:c r="AE98" s="39"/>
      <x:c r="AF98" s="39"/>
      <x:c r="AG98" s="39"/>
    </x:row>
    <x:row r="99">
      <x:c r="A99" s="197"/>
      <x:c r="B99" s="197"/>
      <x:c r="C99" s="197"/>
      <x:c r="D99" s="197"/>
      <x:c r="E99" s="197"/>
      <x:c r="F99" s="197"/>
      <x:c r="G99" s="198" t="n">
        <x:f>IF(E99="Mensile",F99,IF(E99="Annuale",F99/12,IF(E99="Lifetime",0,IF(E99="Variabile",F99,0))))</x:f>
        <x:v>0</x:v>
      </x:c>
      <x:c r="H99" s="197"/>
      <x:c r="I99" s="197"/>
      <x:c r="J99" s="197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  <x:c r="AA99" s="39"/>
      <x:c r="AB99" s="39"/>
      <x:c r="AC99" s="39"/>
      <x:c r="AD99" s="39"/>
      <x:c r="AE99" s="39"/>
      <x:c r="AF99" s="39"/>
      <x:c r="AG99" s="39"/>
    </x:row>
    <x:row r="100">
      <x:c r="A100" s="197"/>
      <x:c r="B100" s="197"/>
      <x:c r="C100" s="197"/>
      <x:c r="D100" s="197"/>
      <x:c r="E100" s="197"/>
      <x:c r="F100" s="197"/>
      <x:c r="G100" s="198" t="n">
        <x:f>IF(E100="Mensile",F100,IF(E100="Annuale",F100/12,IF(E100="Lifetime",0,IF(E100="Variabile",F100,0))))</x:f>
        <x:v>0</x:v>
      </x:c>
      <x:c r="H100" s="197"/>
      <x:c r="I100" s="197"/>
      <x:c r="J100" s="197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  <x:c r="AA100" s="39"/>
      <x:c r="AB100" s="39"/>
      <x:c r="AC100" s="39"/>
      <x:c r="AD100" s="39"/>
      <x:c r="AE100" s="39"/>
      <x:c r="AF100" s="39"/>
      <x:c r="AG100" s="39"/>
    </x:row>
    <x:row r="101">
      <x:c r="A101" s="197"/>
      <x:c r="B101" s="197"/>
      <x:c r="C101" s="197"/>
      <x:c r="D101" s="197"/>
      <x:c r="E101" s="197"/>
      <x:c r="F101" s="197"/>
      <x:c r="G101" s="198" t="n">
        <x:f>IF(E101="Mensile",F101,IF(E101="Annuale",F101/12,IF(E101="Lifetime",0,IF(E101="Variabile",F101,0))))</x:f>
        <x:v>0</x:v>
      </x:c>
      <x:c r="H101" s="197"/>
      <x:c r="I101" s="197"/>
      <x:c r="J101" s="197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  <x:c r="AA101" s="39"/>
      <x:c r="AB101" s="39"/>
      <x:c r="AC101" s="39"/>
      <x:c r="AD101" s="39"/>
      <x:c r="AE101" s="39"/>
      <x:c r="AF101" s="39"/>
      <x:c r="AG101" s="39"/>
    </x:row>
    <x:row r="102">
      <x:c r="A102" s="197"/>
      <x:c r="B102" s="197"/>
      <x:c r="C102" s="197"/>
      <x:c r="D102" s="197"/>
      <x:c r="E102" s="197"/>
      <x:c r="F102" s="197"/>
      <x:c r="G102" s="198" t="n">
        <x:f>IF(E102="Mensile",F102,IF(E102="Annuale",F102/12,IF(E102="Lifetime",0,IF(E102="Variabile",F102,0))))</x:f>
        <x:v>0</x:v>
      </x:c>
      <x:c r="H102" s="197"/>
      <x:c r="I102" s="197"/>
      <x:c r="J102" s="197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  <x:c r="AA102" s="39"/>
      <x:c r="AB102" s="39"/>
      <x:c r="AC102" s="39"/>
      <x:c r="AD102" s="39"/>
      <x:c r="AE102" s="39"/>
      <x:c r="AF102" s="39"/>
      <x:c r="AG102" s="39"/>
    </x:row>
    <x:row r="103">
      <x:c r="A103" s="197"/>
      <x:c r="B103" s="197"/>
      <x:c r="C103" s="197"/>
      <x:c r="D103" s="197"/>
      <x:c r="E103" s="197"/>
      <x:c r="F103" s="197"/>
      <x:c r="G103" s="198" t="n">
        <x:f>IF(E103="Mensile",F103,IF(E103="Annuale",F103/12,IF(E103="Lifetime",0,IF(E103="Variabile",F103,0))))</x:f>
        <x:v>0</x:v>
      </x:c>
      <x:c r="H103" s="197"/>
      <x:c r="I103" s="197"/>
      <x:c r="J103" s="197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  <x:c r="AA103" s="39"/>
      <x:c r="AB103" s="39"/>
      <x:c r="AC103" s="39"/>
      <x:c r="AD103" s="39"/>
      <x:c r="AE103" s="39"/>
      <x:c r="AF103" s="39"/>
      <x:c r="AG103" s="39"/>
    </x:row>
    <x:row r="104">
      <x:c r="A104" s="197"/>
      <x:c r="B104" s="197"/>
      <x:c r="C104" s="197"/>
      <x:c r="D104" s="197"/>
      <x:c r="E104" s="197"/>
      <x:c r="F104" s="197"/>
      <x:c r="G104" s="198" t="n">
        <x:f>IF(E104="Mensile",F104,IF(E104="Annuale",F104/12,IF(E104="Lifetime",0,IF(E104="Variabile",F104,0))))</x:f>
        <x:v>0</x:v>
      </x:c>
      <x:c r="H104" s="197"/>
      <x:c r="I104" s="197"/>
      <x:c r="J104" s="197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  <x:c r="AA104" s="39"/>
      <x:c r="AB104" s="39"/>
      <x:c r="AC104" s="39"/>
      <x:c r="AD104" s="39"/>
      <x:c r="AE104" s="39"/>
      <x:c r="AF104" s="39"/>
      <x:c r="AG104" s="39"/>
    </x:row>
    <x:row r="105">
      <x:c r="A105" s="197"/>
      <x:c r="B105" s="197"/>
      <x:c r="C105" s="197"/>
      <x:c r="D105" s="197"/>
      <x:c r="E105" s="197"/>
      <x:c r="F105" s="197"/>
      <x:c r="G105" s="198" t="n">
        <x:f>IF(E105="Mensile",F105,IF(E105="Annuale",F105/12,IF(E105="Lifetime",0,IF(E105="Variabile",F105,0))))</x:f>
        <x:v>0</x:v>
      </x:c>
      <x:c r="H105" s="197"/>
      <x:c r="I105" s="197"/>
      <x:c r="J105" s="197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  <x:c r="AA105" s="39"/>
      <x:c r="AB105" s="39"/>
      <x:c r="AC105" s="39"/>
      <x:c r="AD105" s="39"/>
      <x:c r="AE105" s="39"/>
      <x:c r="AF105" s="39"/>
      <x:c r="AG105" s="39"/>
    </x:row>
    <x:row r="106">
      <x:c r="A106" s="197"/>
      <x:c r="B106" s="197"/>
      <x:c r="C106" s="197"/>
      <x:c r="D106" s="197"/>
      <x:c r="E106" s="197"/>
      <x:c r="F106" s="197"/>
      <x:c r="G106" s="198" t="n">
        <x:f>IF(E106="Mensile",F106,IF(E106="Annuale",F106/12,IF(E106="Lifetime",0,IF(E106="Variabile",F106,0))))</x:f>
        <x:v>0</x:v>
      </x:c>
      <x:c r="H106" s="197"/>
      <x:c r="I106" s="197"/>
      <x:c r="J106" s="197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  <x:c r="AA106" s="39"/>
      <x:c r="AB106" s="39"/>
      <x:c r="AC106" s="39"/>
      <x:c r="AD106" s="39"/>
      <x:c r="AE106" s="39"/>
      <x:c r="AF106" s="39"/>
      <x:c r="AG106" s="39"/>
    </x:row>
    <x:row r="107">
      <x:c r="A107" s="197"/>
      <x:c r="B107" s="197"/>
      <x:c r="C107" s="197"/>
      <x:c r="D107" s="197"/>
      <x:c r="E107" s="197"/>
      <x:c r="F107" s="197"/>
      <x:c r="G107" s="198" t="n">
        <x:f>IF(E107="Mensile",F107,IF(E107="Annuale",F107/12,IF(E107="Lifetime",0,IF(E107="Variabile",F107,0))))</x:f>
        <x:v>0</x:v>
      </x:c>
      <x:c r="H107" s="197"/>
      <x:c r="I107" s="197"/>
      <x:c r="J107" s="197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  <x:c r="AA107" s="39"/>
      <x:c r="AB107" s="39"/>
      <x:c r="AC107" s="39"/>
      <x:c r="AD107" s="39"/>
      <x:c r="AE107" s="39"/>
      <x:c r="AF107" s="39"/>
      <x:c r="AG107" s="39"/>
    </x:row>
    <x:row r="108">
      <x:c r="A108" s="197"/>
      <x:c r="B108" s="197"/>
      <x:c r="C108" s="197"/>
      <x:c r="D108" s="197"/>
      <x:c r="E108" s="197"/>
      <x:c r="F108" s="197"/>
      <x:c r="G108" s="198" t="n">
        <x:f>IF(E108="Mensile",F108,IF(E108="Annuale",F108/12,IF(E108="Lifetime",0,IF(E108="Variabile",F108,0))))</x:f>
        <x:v>0</x:v>
      </x:c>
      <x:c r="H108" s="197"/>
      <x:c r="I108" s="197"/>
      <x:c r="J108" s="197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  <x:c r="AA108" s="39"/>
      <x:c r="AB108" s="39"/>
      <x:c r="AC108" s="39"/>
      <x:c r="AD108" s="39"/>
      <x:c r="AE108" s="39"/>
      <x:c r="AF108" s="39"/>
      <x:c r="AG108" s="39"/>
    </x:row>
    <x:row r="109">
      <x:c r="A109" s="197"/>
      <x:c r="B109" s="197"/>
      <x:c r="C109" s="197"/>
      <x:c r="D109" s="197"/>
      <x:c r="E109" s="197"/>
      <x:c r="F109" s="197"/>
      <x:c r="G109" s="198" t="n">
        <x:f>IF(E109="Mensile",F109,IF(E109="Annuale",F109/12,IF(E109="Lifetime",0,IF(E109="Variabile",F109,0))))</x:f>
        <x:v>0</x:v>
      </x:c>
      <x:c r="H109" s="197"/>
      <x:c r="I109" s="197"/>
      <x:c r="J109" s="197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  <x:c r="AA109" s="39"/>
      <x:c r="AB109" s="39"/>
      <x:c r="AC109" s="39"/>
      <x:c r="AD109" s="39"/>
      <x:c r="AE109" s="39"/>
      <x:c r="AF109" s="39"/>
      <x:c r="AG109" s="39"/>
    </x:row>
    <x:row r="110">
      <x:c r="A110" s="197"/>
      <x:c r="B110" s="197"/>
      <x:c r="C110" s="197"/>
      <x:c r="D110" s="197"/>
      <x:c r="E110" s="197"/>
      <x:c r="F110" s="197"/>
      <x:c r="G110" s="198" t="n">
        <x:f>IF(E110="Mensile",F110,IF(E110="Annuale",F110/12,IF(E110="Lifetime",0,IF(E110="Variabile",F110,0))))</x:f>
        <x:v>0</x:v>
      </x:c>
      <x:c r="H110" s="197"/>
      <x:c r="I110" s="197"/>
      <x:c r="J110" s="197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  <x:c r="AA110" s="39"/>
      <x:c r="AB110" s="39"/>
      <x:c r="AC110" s="39"/>
      <x:c r="AD110" s="39"/>
      <x:c r="AE110" s="39"/>
      <x:c r="AF110" s="39"/>
      <x:c r="AG110" s="39"/>
    </x:row>
    <x:row r="111">
      <x:c r="A111" s="197"/>
      <x:c r="B111" s="197"/>
      <x:c r="C111" s="197"/>
      <x:c r="D111" s="197"/>
      <x:c r="E111" s="197"/>
      <x:c r="F111" s="197"/>
      <x:c r="G111" s="198" t="n">
        <x:f>IF(E111="Mensile",F111,IF(E111="Annuale",F111/12,IF(E111="Lifetime",0,IF(E111="Variabile",F111,0))))</x:f>
        <x:v>0</x:v>
      </x:c>
      <x:c r="H111" s="197"/>
      <x:c r="I111" s="197"/>
      <x:c r="J111" s="197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  <x:c r="AA111" s="39"/>
      <x:c r="AB111" s="39"/>
      <x:c r="AC111" s="39"/>
      <x:c r="AD111" s="39"/>
      <x:c r="AE111" s="39"/>
      <x:c r="AF111" s="39"/>
      <x:c r="AG111" s="39"/>
    </x:row>
    <x:row r="112">
      <x:c r="A112" s="197"/>
      <x:c r="B112" s="197"/>
      <x:c r="C112" s="197"/>
      <x:c r="D112" s="197"/>
      <x:c r="E112" s="197"/>
      <x:c r="F112" s="197"/>
      <x:c r="G112" s="198" t="n">
        <x:f>IF(E112="Mensile",F112,IF(E112="Annuale",F112/12,IF(E112="Lifetime",0,IF(E112="Variabile",F112,0))))</x:f>
        <x:v>0</x:v>
      </x:c>
      <x:c r="H112" s="197"/>
      <x:c r="I112" s="197"/>
      <x:c r="J112" s="197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  <x:c r="AA112" s="39"/>
      <x:c r="AB112" s="39"/>
      <x:c r="AC112" s="39"/>
      <x:c r="AD112" s="39"/>
      <x:c r="AE112" s="39"/>
      <x:c r="AF112" s="39"/>
      <x:c r="AG112" s="39"/>
    </x:row>
    <x:row r="113">
      <x:c r="A113" s="197"/>
      <x:c r="B113" s="197"/>
      <x:c r="C113" s="197"/>
      <x:c r="D113" s="197"/>
      <x:c r="E113" s="197"/>
      <x:c r="F113" s="197"/>
      <x:c r="G113" s="198" t="n">
        <x:f>IF(E113="Mensile",F113,IF(E113="Annuale",F113/12,IF(E113="Lifetime",0,IF(E113="Variabile",F113,0))))</x:f>
        <x:v>0</x:v>
      </x:c>
      <x:c r="H113" s="197"/>
      <x:c r="I113" s="197"/>
      <x:c r="J113" s="197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  <x:c r="AA113" s="39"/>
      <x:c r="AB113" s="39"/>
      <x:c r="AC113" s="39"/>
      <x:c r="AD113" s="39"/>
      <x:c r="AE113" s="39"/>
      <x:c r="AF113" s="39"/>
      <x:c r="AG113" s="39"/>
    </x:row>
    <x:row r="114">
      <x:c r="A114" s="197"/>
      <x:c r="B114" s="197"/>
      <x:c r="C114" s="197"/>
      <x:c r="D114" s="197"/>
      <x:c r="E114" s="197"/>
      <x:c r="F114" s="197"/>
      <x:c r="G114" s="198" t="n">
        <x:f>IF(E114="Mensile",F114,IF(E114="Annuale",F114/12,IF(E114="Lifetime",0,IF(E114="Variabile",F114,0))))</x:f>
        <x:v>0</x:v>
      </x:c>
      <x:c r="H114" s="197"/>
      <x:c r="I114" s="197"/>
      <x:c r="J114" s="197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  <x:c r="AA114" s="39"/>
      <x:c r="AB114" s="39"/>
      <x:c r="AC114" s="39"/>
      <x:c r="AD114" s="39"/>
      <x:c r="AE114" s="39"/>
      <x:c r="AF114" s="39"/>
      <x:c r="AG114" s="39"/>
    </x:row>
    <x:row r="115">
      <x:c r="A115" s="197"/>
      <x:c r="B115" s="197"/>
      <x:c r="C115" s="197"/>
      <x:c r="D115" s="197"/>
      <x:c r="E115" s="197"/>
      <x:c r="F115" s="197"/>
      <x:c r="G115" s="198" t="n">
        <x:f>IF(E115="Mensile",F115,IF(E115="Annuale",F115/12,IF(E115="Lifetime",0,IF(E115="Variabile",F115,0))))</x:f>
        <x:v>0</x:v>
      </x:c>
      <x:c r="H115" s="197"/>
      <x:c r="I115" s="197"/>
      <x:c r="J115" s="197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  <x:c r="AA115" s="39"/>
      <x:c r="AB115" s="39"/>
      <x:c r="AC115" s="39"/>
      <x:c r="AD115" s="39"/>
      <x:c r="AE115" s="39"/>
      <x:c r="AF115" s="39"/>
      <x:c r="AG115" s="39"/>
    </x:row>
    <x:row r="116">
      <x:c r="A116" s="197"/>
      <x:c r="B116" s="197"/>
      <x:c r="C116" s="197"/>
      <x:c r="D116" s="197"/>
      <x:c r="E116" s="197"/>
      <x:c r="F116" s="197"/>
      <x:c r="G116" s="198" t="n">
        <x:f>IF(E116="Mensile",F116,IF(E116="Annuale",F116/12,IF(E116="Lifetime",0,IF(E116="Variabile",F116,0))))</x:f>
        <x:v>0</x:v>
      </x:c>
      <x:c r="H116" s="197"/>
      <x:c r="I116" s="197"/>
      <x:c r="J116" s="197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  <x:c r="AA116" s="39"/>
      <x:c r="AB116" s="39"/>
      <x:c r="AC116" s="39"/>
      <x:c r="AD116" s="39"/>
      <x:c r="AE116" s="39"/>
      <x:c r="AF116" s="39"/>
      <x:c r="AG116" s="39"/>
    </x:row>
    <x:row r="117">
      <x:c r="A117" s="197"/>
      <x:c r="B117" s="197"/>
      <x:c r="C117" s="197"/>
      <x:c r="D117" s="197"/>
      <x:c r="E117" s="197"/>
      <x:c r="F117" s="197"/>
      <x:c r="G117" s="198" t="n">
        <x:f>IF(E117="Mensile",F117,IF(E117="Annuale",F117/12,IF(E117="Lifetime",0,IF(E117="Variabile",F117,0))))</x:f>
        <x:v>0</x:v>
      </x:c>
      <x:c r="H117" s="197"/>
      <x:c r="I117" s="197"/>
      <x:c r="J117" s="197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  <x:c r="AA117" s="39"/>
      <x:c r="AB117" s="39"/>
      <x:c r="AC117" s="39"/>
      <x:c r="AD117" s="39"/>
      <x:c r="AE117" s="39"/>
      <x:c r="AF117" s="39"/>
      <x:c r="AG117" s="39"/>
    </x:row>
    <x:row r="118">
      <x:c r="A118" s="197"/>
      <x:c r="B118" s="197"/>
      <x:c r="C118" s="197"/>
      <x:c r="D118" s="197"/>
      <x:c r="E118" s="197"/>
      <x:c r="F118" s="197"/>
      <x:c r="G118" s="198" t="n">
        <x:f>IF(E118="Mensile",F118,IF(E118="Annuale",F118/12,IF(E118="Lifetime",0,IF(E118="Variabile",F118,0))))</x:f>
        <x:v>0</x:v>
      </x:c>
      <x:c r="H118" s="197"/>
      <x:c r="I118" s="197"/>
      <x:c r="J118" s="197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  <x:c r="AA118" s="39"/>
      <x:c r="AB118" s="39"/>
      <x:c r="AC118" s="39"/>
      <x:c r="AD118" s="39"/>
      <x:c r="AE118" s="39"/>
      <x:c r="AF118" s="39"/>
      <x:c r="AG118" s="39"/>
    </x:row>
    <x:row r="119">
      <x:c r="A119" s="197"/>
      <x:c r="B119" s="197"/>
      <x:c r="C119" s="197"/>
      <x:c r="D119" s="197"/>
      <x:c r="E119" s="197"/>
      <x:c r="F119" s="197"/>
      <x:c r="G119" s="198" t="n">
        <x:f>IF(E119="Mensile",F119,IF(E119="Annuale",F119/12,IF(E119="Lifetime",0,IF(E119="Variabile",F119,0))))</x:f>
        <x:v>0</x:v>
      </x:c>
      <x:c r="H119" s="197"/>
      <x:c r="I119" s="197"/>
      <x:c r="J119" s="197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  <x:c r="AA119" s="39"/>
      <x:c r="AB119" s="39"/>
      <x:c r="AC119" s="39"/>
      <x:c r="AD119" s="39"/>
      <x:c r="AE119" s="39"/>
      <x:c r="AF119" s="39"/>
      <x:c r="AG119" s="39"/>
    </x:row>
    <x:row r="120">
      <x:c r="A120" s="197"/>
      <x:c r="B120" s="197"/>
      <x:c r="C120" s="197"/>
      <x:c r="D120" s="197"/>
      <x:c r="E120" s="197"/>
      <x:c r="F120" s="197"/>
      <x:c r="G120" s="198" t="n">
        <x:f>IF(E120="Mensile",F120,IF(E120="Annuale",F120/12,IF(E120="Lifetime",0,IF(E120="Variabile",F120,0))))</x:f>
        <x:v>0</x:v>
      </x:c>
      <x:c r="H120" s="197"/>
      <x:c r="I120" s="197"/>
      <x:c r="J120" s="197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  <x:c r="AA120" s="39"/>
      <x:c r="AB120" s="39"/>
      <x:c r="AC120" s="39"/>
      <x:c r="AD120" s="39"/>
      <x:c r="AE120" s="39"/>
      <x:c r="AF120" s="39"/>
      <x:c r="AG120" s="39"/>
    </x:row>
    <x:row r="121">
      <x:c r="A121" s="197"/>
      <x:c r="B121" s="197"/>
      <x:c r="C121" s="197"/>
      <x:c r="D121" s="197"/>
      <x:c r="E121" s="197"/>
      <x:c r="F121" s="197"/>
      <x:c r="G121" s="198" t="n">
        <x:f>IF(E121="Mensile",F121,IF(E121="Annuale",F121/12,IF(E121="Lifetime",0,IF(E121="Variabile",F121,0))))</x:f>
        <x:v>0</x:v>
      </x:c>
      <x:c r="H121" s="197"/>
      <x:c r="I121" s="197"/>
      <x:c r="J121" s="197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  <x:c r="AA121" s="39"/>
      <x:c r="AB121" s="39"/>
      <x:c r="AC121" s="39"/>
      <x:c r="AD121" s="39"/>
      <x:c r="AE121" s="39"/>
      <x:c r="AF121" s="39"/>
      <x:c r="AG121" s="39"/>
    </x:row>
    <x:row r="122">
      <x:c r="A122" s="197"/>
      <x:c r="B122" s="197"/>
      <x:c r="C122" s="197"/>
      <x:c r="D122" s="197"/>
      <x:c r="E122" s="197"/>
      <x:c r="F122" s="197"/>
      <x:c r="G122" s="198" t="n">
        <x:f>IF(E122="Mensile",F122,IF(E122="Annuale",F122/12,IF(E122="Lifetime",0,IF(E122="Variabile",F122,0))))</x:f>
        <x:v>0</x:v>
      </x:c>
      <x:c r="H122" s="197"/>
      <x:c r="I122" s="197"/>
      <x:c r="J122" s="197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  <x:c r="AA122" s="39"/>
      <x:c r="AB122" s="39"/>
      <x:c r="AC122" s="39"/>
      <x:c r="AD122" s="39"/>
      <x:c r="AE122" s="39"/>
      <x:c r="AF122" s="39"/>
      <x:c r="AG122" s="39"/>
    </x:row>
    <x:row r="123">
      <x:c r="A123" s="197"/>
      <x:c r="B123" s="197"/>
      <x:c r="C123" s="197"/>
      <x:c r="D123" s="197"/>
      <x:c r="E123" s="197"/>
      <x:c r="F123" s="197"/>
      <x:c r="G123" s="198" t="n">
        <x:f>IF(E123="Mensile",F123,IF(E123="Annuale",F123/12,IF(E123="Lifetime",0,IF(E123="Variabile",F123,0))))</x:f>
        <x:v>0</x:v>
      </x:c>
      <x:c r="H123" s="197"/>
      <x:c r="I123" s="197"/>
      <x:c r="J123" s="197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  <x:c r="AA123" s="39"/>
      <x:c r="AB123" s="39"/>
      <x:c r="AC123" s="39"/>
      <x:c r="AD123" s="39"/>
      <x:c r="AE123" s="39"/>
      <x:c r="AF123" s="39"/>
      <x:c r="AG123" s="39"/>
    </x:row>
    <x:row r="124">
      <x:c r="A124" s="197"/>
      <x:c r="B124" s="197"/>
      <x:c r="C124" s="197"/>
      <x:c r="D124" s="197"/>
      <x:c r="E124" s="197"/>
      <x:c r="F124" s="197"/>
      <x:c r="G124" s="198" t="n">
        <x:f>IF(E124="Mensile",F124,IF(E124="Annuale",F124/12,IF(E124="Lifetime",0,IF(E124="Variabile",F124,0))))</x:f>
        <x:v>0</x:v>
      </x:c>
      <x:c r="H124" s="197"/>
      <x:c r="I124" s="197"/>
      <x:c r="J124" s="197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  <x:c r="AA124" s="39"/>
      <x:c r="AB124" s="39"/>
      <x:c r="AC124" s="39"/>
      <x:c r="AD124" s="39"/>
      <x:c r="AE124" s="39"/>
      <x:c r="AF124" s="39"/>
      <x:c r="AG124" s="39"/>
    </x:row>
    <x:row r="125">
      <x:c r="A125" s="197"/>
      <x:c r="B125" s="197"/>
      <x:c r="C125" s="197"/>
      <x:c r="D125" s="197"/>
      <x:c r="E125" s="197"/>
      <x:c r="F125" s="197"/>
      <x:c r="G125" s="198" t="n">
        <x:f>IF(E125="Mensile",F125,IF(E125="Annuale",F125/12,IF(E125="Lifetime",0,IF(E125="Variabile",F125,0))))</x:f>
        <x:v>0</x:v>
      </x:c>
      <x:c r="H125" s="197"/>
      <x:c r="I125" s="197"/>
      <x:c r="J125" s="197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  <x:c r="AA125" s="39"/>
      <x:c r="AB125" s="39"/>
      <x:c r="AC125" s="39"/>
      <x:c r="AD125" s="39"/>
      <x:c r="AE125" s="39"/>
      <x:c r="AF125" s="39"/>
      <x:c r="AG125" s="39"/>
    </x:row>
    <x:row r="126">
      <x:c r="A126" s="197"/>
      <x:c r="B126" s="197"/>
      <x:c r="C126" s="197"/>
      <x:c r="D126" s="197"/>
      <x:c r="E126" s="197"/>
      <x:c r="F126" s="197"/>
      <x:c r="G126" s="198" t="n">
        <x:f>IF(E126="Mensile",F126,IF(E126="Annuale",F126/12,IF(E126="Lifetime",0,IF(E126="Variabile",F126,0))))</x:f>
        <x:v>0</x:v>
      </x:c>
      <x:c r="H126" s="197"/>
      <x:c r="I126" s="197"/>
      <x:c r="J126" s="197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  <x:c r="AA126" s="39"/>
      <x:c r="AB126" s="39"/>
      <x:c r="AC126" s="39"/>
      <x:c r="AD126" s="39"/>
      <x:c r="AE126" s="39"/>
      <x:c r="AF126" s="39"/>
      <x:c r="AG126" s="39"/>
    </x:row>
    <x:row r="127">
      <x:c r="A127" s="197"/>
      <x:c r="B127" s="197"/>
      <x:c r="C127" s="197"/>
      <x:c r="D127" s="197"/>
      <x:c r="E127" s="197"/>
      <x:c r="F127" s="197"/>
      <x:c r="G127" s="198" t="n">
        <x:f>IF(E127="Mensile",F127,IF(E127="Annuale",F127/12,IF(E127="Lifetime",0,IF(E127="Variabile",F127,0))))</x:f>
        <x:v>0</x:v>
      </x:c>
      <x:c r="H127" s="197"/>
      <x:c r="I127" s="197"/>
      <x:c r="J127" s="197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  <x:c r="AA127" s="39"/>
      <x:c r="AB127" s="39"/>
      <x:c r="AC127" s="39"/>
      <x:c r="AD127" s="39"/>
      <x:c r="AE127" s="39"/>
      <x:c r="AF127" s="39"/>
      <x:c r="AG127" s="39"/>
    </x:row>
    <x:row r="128">
      <x:c r="A128" s="197"/>
      <x:c r="B128" s="197"/>
      <x:c r="C128" s="197"/>
      <x:c r="D128" s="197"/>
      <x:c r="E128" s="197"/>
      <x:c r="F128" s="197"/>
      <x:c r="G128" s="198" t="n">
        <x:f>IF(E128="Mensile",F128,IF(E128="Annuale",F128/12,IF(E128="Lifetime",0,IF(E128="Variabile",F128,0))))</x:f>
        <x:v>0</x:v>
      </x:c>
      <x:c r="H128" s="197"/>
      <x:c r="I128" s="197"/>
      <x:c r="J128" s="197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  <x:c r="AA128" s="39"/>
      <x:c r="AB128" s="39"/>
      <x:c r="AC128" s="39"/>
      <x:c r="AD128" s="39"/>
      <x:c r="AE128" s="39"/>
      <x:c r="AF128" s="39"/>
      <x:c r="AG128" s="39"/>
    </x:row>
    <x:row r="129">
      <x:c r="A129" s="197"/>
      <x:c r="B129" s="197"/>
      <x:c r="C129" s="197"/>
      <x:c r="D129" s="197"/>
      <x:c r="E129" s="197"/>
      <x:c r="F129" s="197"/>
      <x:c r="G129" s="198" t="n">
        <x:f>IF(E129="Mensile",F129,IF(E129="Annuale",F129/12,IF(E129="Lifetime",0,IF(E129="Variabile",F129,0))))</x:f>
        <x:v>0</x:v>
      </x:c>
      <x:c r="H129" s="197"/>
      <x:c r="I129" s="197"/>
      <x:c r="J129" s="197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  <x:c r="AA129" s="39"/>
      <x:c r="AB129" s="39"/>
      <x:c r="AC129" s="39"/>
      <x:c r="AD129" s="39"/>
      <x:c r="AE129" s="39"/>
      <x:c r="AF129" s="39"/>
      <x:c r="AG129" s="39"/>
    </x:row>
    <x:row r="130">
      <x:c r="A130" s="197"/>
      <x:c r="B130" s="197"/>
      <x:c r="C130" s="197"/>
      <x:c r="D130" s="197"/>
      <x:c r="E130" s="197"/>
      <x:c r="F130" s="197"/>
      <x:c r="G130" s="198" t="n">
        <x:f>IF(E130="Mensile",F130,IF(E130="Annuale",F130/12,IF(E130="Lifetime",0,IF(E130="Variabile",F130,0))))</x:f>
        <x:v>0</x:v>
      </x:c>
      <x:c r="H130" s="197"/>
      <x:c r="I130" s="197"/>
      <x:c r="J130" s="197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  <x:c r="AA130" s="39"/>
      <x:c r="AB130" s="39"/>
      <x:c r="AC130" s="39"/>
      <x:c r="AD130" s="39"/>
      <x:c r="AE130" s="39"/>
      <x:c r="AF130" s="39"/>
      <x:c r="AG130" s="39"/>
    </x:row>
    <x:row r="131">
      <x:c r="A131" s="197"/>
      <x:c r="B131" s="197"/>
      <x:c r="C131" s="197"/>
      <x:c r="D131" s="197"/>
      <x:c r="E131" s="197"/>
      <x:c r="F131" s="197"/>
      <x:c r="G131" s="198" t="n">
        <x:f>IF(E131="Mensile",F131,IF(E131="Annuale",F131/12,IF(E131="Lifetime",0,IF(E131="Variabile",F131,0))))</x:f>
        <x:v>0</x:v>
      </x:c>
      <x:c r="H131" s="197"/>
      <x:c r="I131" s="197"/>
      <x:c r="J131" s="197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  <x:c r="AA131" s="39"/>
      <x:c r="AB131" s="39"/>
      <x:c r="AC131" s="39"/>
      <x:c r="AD131" s="39"/>
      <x:c r="AE131" s="39"/>
      <x:c r="AF131" s="39"/>
      <x:c r="AG131" s="39"/>
    </x:row>
    <x:row r="132">
      <x:c r="A132" s="197"/>
      <x:c r="B132" s="197"/>
      <x:c r="C132" s="197"/>
      <x:c r="D132" s="197"/>
      <x:c r="E132" s="197"/>
      <x:c r="F132" s="197"/>
      <x:c r="G132" s="198" t="n">
        <x:f>IF(E132="Mensile",F132,IF(E132="Annuale",F132/12,IF(E132="Lifetime",0,IF(E132="Variabile",F132,0))))</x:f>
        <x:v>0</x:v>
      </x:c>
      <x:c r="H132" s="197"/>
      <x:c r="I132" s="197"/>
      <x:c r="J132" s="197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  <x:c r="AA132" s="39"/>
      <x:c r="AB132" s="39"/>
      <x:c r="AC132" s="39"/>
      <x:c r="AD132" s="39"/>
      <x:c r="AE132" s="39"/>
      <x:c r="AF132" s="39"/>
      <x:c r="AG132" s="39"/>
    </x:row>
    <x:row r="133">
      <x:c r="A133" s="197"/>
      <x:c r="B133" s="197"/>
      <x:c r="C133" s="197"/>
      <x:c r="D133" s="197"/>
      <x:c r="E133" s="197"/>
      <x:c r="F133" s="197"/>
      <x:c r="G133" s="198" t="n">
        <x:f>IF(E133="Mensile",F133,IF(E133="Annuale",F133/12,IF(E133="Lifetime",0,IF(E133="Variabile",F133,0))))</x:f>
        <x:v>0</x:v>
      </x:c>
      <x:c r="H133" s="197"/>
      <x:c r="I133" s="197"/>
      <x:c r="J133" s="197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  <x:c r="AA133" s="39"/>
      <x:c r="AB133" s="39"/>
      <x:c r="AC133" s="39"/>
      <x:c r="AD133" s="39"/>
      <x:c r="AE133" s="39"/>
      <x:c r="AF133" s="39"/>
      <x:c r="AG133" s="39"/>
    </x:row>
    <x:row r="134">
      <x:c r="A134" s="197"/>
      <x:c r="B134" s="197"/>
      <x:c r="C134" s="197"/>
      <x:c r="D134" s="197"/>
      <x:c r="E134" s="197"/>
      <x:c r="F134" s="197"/>
      <x:c r="G134" s="198" t="n">
        <x:f>IF(E134="Mensile",F134,IF(E134="Annuale",F134/12,IF(E134="Lifetime",0,IF(E134="Variabile",F134,0))))</x:f>
        <x:v>0</x:v>
      </x:c>
      <x:c r="H134" s="197"/>
      <x:c r="I134" s="197"/>
      <x:c r="J134" s="197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  <x:c r="AA134" s="39"/>
      <x:c r="AB134" s="39"/>
      <x:c r="AC134" s="39"/>
      <x:c r="AD134" s="39"/>
      <x:c r="AE134" s="39"/>
      <x:c r="AF134" s="39"/>
      <x:c r="AG134" s="39"/>
    </x:row>
    <x:row r="135">
      <x:c r="A135" s="197"/>
      <x:c r="B135" s="197"/>
      <x:c r="C135" s="197"/>
      <x:c r="D135" s="197"/>
      <x:c r="E135" s="197"/>
      <x:c r="F135" s="197"/>
      <x:c r="G135" s="198" t="n">
        <x:f>IF(E135="Mensile",F135,IF(E135="Annuale",F135/12,IF(E135="Lifetime",0,IF(E135="Variabile",F135,0))))</x:f>
        <x:v>0</x:v>
      </x:c>
      <x:c r="H135" s="197"/>
      <x:c r="I135" s="197"/>
      <x:c r="J135" s="197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  <x:c r="AA135" s="39"/>
      <x:c r="AB135" s="39"/>
      <x:c r="AC135" s="39"/>
      <x:c r="AD135" s="39"/>
      <x:c r="AE135" s="39"/>
      <x:c r="AF135" s="39"/>
      <x:c r="AG135" s="39"/>
    </x:row>
    <x:row r="136">
      <x:c r="A136" s="197"/>
      <x:c r="B136" s="197"/>
      <x:c r="C136" s="197"/>
      <x:c r="D136" s="197"/>
      <x:c r="E136" s="197"/>
      <x:c r="F136" s="197"/>
      <x:c r="G136" s="198" t="n">
        <x:f>IF(E136="Mensile",F136,IF(E136="Annuale",F136/12,IF(E136="Lifetime",0,IF(E136="Variabile",F136,0))))</x:f>
        <x:v>0</x:v>
      </x:c>
      <x:c r="H136" s="197"/>
      <x:c r="I136" s="197"/>
      <x:c r="J136" s="197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  <x:c r="AA136" s="39"/>
      <x:c r="AB136" s="39"/>
      <x:c r="AC136" s="39"/>
      <x:c r="AD136" s="39"/>
      <x:c r="AE136" s="39"/>
      <x:c r="AF136" s="39"/>
      <x:c r="AG136" s="39"/>
    </x:row>
    <x:row r="137">
      <x:c r="A137" s="197"/>
      <x:c r="B137" s="197"/>
      <x:c r="C137" s="197"/>
      <x:c r="D137" s="197"/>
      <x:c r="E137" s="197"/>
      <x:c r="F137" s="197"/>
      <x:c r="G137" s="198" t="n">
        <x:f>IF(E137="Mensile",F137,IF(E137="Annuale",F137/12,IF(E137="Lifetime",0,IF(E137="Variabile",F137,0))))</x:f>
        <x:v>0</x:v>
      </x:c>
      <x:c r="H137" s="197"/>
      <x:c r="I137" s="197"/>
      <x:c r="J137" s="197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  <x:c r="AA137" s="39"/>
      <x:c r="AB137" s="39"/>
      <x:c r="AC137" s="39"/>
      <x:c r="AD137" s="39"/>
      <x:c r="AE137" s="39"/>
      <x:c r="AF137" s="39"/>
      <x:c r="AG137" s="39"/>
    </x:row>
    <x:row r="138">
      <x:c r="A138" s="197"/>
      <x:c r="B138" s="197"/>
      <x:c r="C138" s="197"/>
      <x:c r="D138" s="197"/>
      <x:c r="E138" s="197"/>
      <x:c r="F138" s="197"/>
      <x:c r="G138" s="198" t="n">
        <x:f>IF(E138="Mensile",F138,IF(E138="Annuale",F138/12,IF(E138="Lifetime",0,IF(E138="Variabile",F138,0))))</x:f>
        <x:v>0</x:v>
      </x:c>
      <x:c r="H138" s="197"/>
      <x:c r="I138" s="197"/>
      <x:c r="J138" s="197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  <x:c r="AA138" s="39"/>
      <x:c r="AB138" s="39"/>
      <x:c r="AC138" s="39"/>
      <x:c r="AD138" s="39"/>
      <x:c r="AE138" s="39"/>
      <x:c r="AF138" s="39"/>
      <x:c r="AG138" s="39"/>
    </x:row>
    <x:row r="139">
      <x:c r="A139" s="197"/>
      <x:c r="B139" s="197"/>
      <x:c r="C139" s="197"/>
      <x:c r="D139" s="197"/>
      <x:c r="E139" s="197"/>
      <x:c r="F139" s="197"/>
      <x:c r="G139" s="198" t="n">
        <x:f>IF(E139="Mensile",F139,IF(E139="Annuale",F139/12,IF(E139="Lifetime",0,IF(E139="Variabile",F139,0))))</x:f>
        <x:v>0</x:v>
      </x:c>
      <x:c r="H139" s="197"/>
      <x:c r="I139" s="197"/>
      <x:c r="J139" s="197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  <x:c r="AA139" s="39"/>
      <x:c r="AB139" s="39"/>
      <x:c r="AC139" s="39"/>
      <x:c r="AD139" s="39"/>
      <x:c r="AE139" s="39"/>
      <x:c r="AF139" s="39"/>
      <x:c r="AG139" s="39"/>
    </x:row>
    <x:row r="140">
      <x:c r="A140" s="197"/>
      <x:c r="B140" s="197"/>
      <x:c r="C140" s="197"/>
      <x:c r="D140" s="197"/>
      <x:c r="E140" s="197"/>
      <x:c r="F140" s="197"/>
      <x:c r="G140" s="198" t="n">
        <x:f>IF(E140="Mensile",F140,IF(E140="Annuale",F140/12,IF(E140="Lifetime",0,IF(E140="Variabile",F140,0))))</x:f>
        <x:v>0</x:v>
      </x:c>
      <x:c r="H140" s="197"/>
      <x:c r="I140" s="197"/>
      <x:c r="J140" s="197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  <x:c r="AA140" s="39"/>
      <x:c r="AB140" s="39"/>
      <x:c r="AC140" s="39"/>
      <x:c r="AD140" s="39"/>
      <x:c r="AE140" s="39"/>
      <x:c r="AF140" s="39"/>
      <x:c r="AG140" s="39"/>
    </x:row>
    <x:row r="141">
      <x:c r="A141" s="197"/>
      <x:c r="B141" s="197"/>
      <x:c r="C141" s="197"/>
      <x:c r="D141" s="197"/>
      <x:c r="E141" s="197"/>
      <x:c r="F141" s="197"/>
      <x:c r="G141" s="198" t="n">
        <x:f>IF(E141="Mensile",F141,IF(E141="Annuale",F141/12,IF(E141="Lifetime",0,IF(E141="Variabile",F141,0))))</x:f>
        <x:v>0</x:v>
      </x:c>
      <x:c r="H141" s="197"/>
      <x:c r="I141" s="197"/>
      <x:c r="J141" s="197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  <x:c r="AA141" s="39"/>
      <x:c r="AB141" s="39"/>
      <x:c r="AC141" s="39"/>
      <x:c r="AD141" s="39"/>
      <x:c r="AE141" s="39"/>
      <x:c r="AF141" s="39"/>
      <x:c r="AG141" s="39"/>
    </x:row>
    <x:row r="142">
      <x:c r="A142" s="197"/>
      <x:c r="B142" s="197"/>
      <x:c r="C142" s="197"/>
      <x:c r="D142" s="197"/>
      <x:c r="E142" s="197"/>
      <x:c r="F142" s="197"/>
      <x:c r="G142" s="198" t="n">
        <x:f>IF(E142="Mensile",F142,IF(E142="Annuale",F142/12,IF(E142="Lifetime",0,IF(E142="Variabile",F142,0))))</x:f>
        <x:v>0</x:v>
      </x:c>
      <x:c r="H142" s="197"/>
      <x:c r="I142" s="197"/>
      <x:c r="J142" s="197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  <x:c r="AA142" s="39"/>
      <x:c r="AB142" s="39"/>
      <x:c r="AC142" s="39"/>
      <x:c r="AD142" s="39"/>
      <x:c r="AE142" s="39"/>
      <x:c r="AF142" s="39"/>
      <x:c r="AG142" s="39"/>
    </x:row>
    <x:row r="143">
      <x:c r="A143" s="197"/>
      <x:c r="B143" s="197"/>
      <x:c r="C143" s="197"/>
      <x:c r="D143" s="197"/>
      <x:c r="E143" s="197"/>
      <x:c r="F143" s="197"/>
      <x:c r="G143" s="198" t="n">
        <x:f>IF(E143="Mensile",F143,IF(E143="Annuale",F143/12,IF(E143="Lifetime",0,IF(E143="Variabile",F143,0))))</x:f>
        <x:v>0</x:v>
      </x:c>
      <x:c r="H143" s="197"/>
      <x:c r="I143" s="197"/>
      <x:c r="J143" s="197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  <x:c r="AA143" s="39"/>
      <x:c r="AB143" s="39"/>
      <x:c r="AC143" s="39"/>
      <x:c r="AD143" s="39"/>
      <x:c r="AE143" s="39"/>
      <x:c r="AF143" s="39"/>
      <x:c r="AG143" s="39"/>
    </x:row>
    <x:row r="144">
      <x:c r="A144" s="197"/>
      <x:c r="B144" s="197"/>
      <x:c r="C144" s="197"/>
      <x:c r="D144" s="197"/>
      <x:c r="E144" s="197"/>
      <x:c r="F144" s="197"/>
      <x:c r="G144" s="198" t="n">
        <x:f>IF(E144="Mensile",F144,IF(E144="Annuale",F144/12,IF(E144="Lifetime",0,IF(E144="Variabile",F144,0))))</x:f>
        <x:v>0</x:v>
      </x:c>
      <x:c r="H144" s="197"/>
      <x:c r="I144" s="197"/>
      <x:c r="J144" s="197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  <x:c r="AA144" s="39"/>
      <x:c r="AB144" s="39"/>
      <x:c r="AC144" s="39"/>
      <x:c r="AD144" s="39"/>
      <x:c r="AE144" s="39"/>
      <x:c r="AF144" s="39"/>
      <x:c r="AG144" s="39"/>
    </x:row>
    <x:row r="145">
      <x:c r="A145" s="197"/>
      <x:c r="B145" s="197"/>
      <x:c r="C145" s="197"/>
      <x:c r="D145" s="197"/>
      <x:c r="E145" s="197"/>
      <x:c r="F145" s="197"/>
      <x:c r="G145" s="198" t="n">
        <x:f>IF(E145="Mensile",F145,IF(E145="Annuale",F145/12,IF(E145="Lifetime",0,IF(E145="Variabile",F145,0))))</x:f>
        <x:v>0</x:v>
      </x:c>
      <x:c r="H145" s="197"/>
      <x:c r="I145" s="197"/>
      <x:c r="J145" s="197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  <x:c r="AA145" s="39"/>
      <x:c r="AB145" s="39"/>
      <x:c r="AC145" s="39"/>
      <x:c r="AD145" s="39"/>
      <x:c r="AE145" s="39"/>
      <x:c r="AF145" s="39"/>
      <x:c r="AG145" s="39"/>
    </x:row>
    <x:row r="146">
      <x:c r="A146" s="197"/>
      <x:c r="B146" s="197"/>
      <x:c r="C146" s="197"/>
      <x:c r="D146" s="197"/>
      <x:c r="E146" s="197"/>
      <x:c r="F146" s="197"/>
      <x:c r="G146" s="198" t="n">
        <x:f>IF(E146="Mensile",F146,IF(E146="Annuale",F146/12,IF(E146="Lifetime",0,IF(E146="Variabile",F146,0))))</x:f>
        <x:v>0</x:v>
      </x:c>
      <x:c r="H146" s="197"/>
      <x:c r="I146" s="197"/>
      <x:c r="J146" s="197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  <x:c r="AA146" s="39"/>
      <x:c r="AB146" s="39"/>
      <x:c r="AC146" s="39"/>
      <x:c r="AD146" s="39"/>
      <x:c r="AE146" s="39"/>
      <x:c r="AF146" s="39"/>
      <x:c r="AG146" s="39"/>
    </x:row>
    <x:row r="147">
      <x:c r="A147" s="197"/>
      <x:c r="B147" s="197"/>
      <x:c r="C147" s="197"/>
      <x:c r="D147" s="197"/>
      <x:c r="E147" s="197"/>
      <x:c r="F147" s="197"/>
      <x:c r="G147" s="198" t="n">
        <x:f>IF(E147="Mensile",F147,IF(E147="Annuale",F147/12,IF(E147="Lifetime",0,IF(E147="Variabile",F147,0))))</x:f>
        <x:v>0</x:v>
      </x:c>
      <x:c r="H147" s="197"/>
      <x:c r="I147" s="197"/>
      <x:c r="J147" s="197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  <x:c r="AA147" s="39"/>
      <x:c r="AB147" s="39"/>
      <x:c r="AC147" s="39"/>
      <x:c r="AD147" s="39"/>
      <x:c r="AE147" s="39"/>
      <x:c r="AF147" s="39"/>
      <x:c r="AG147" s="39"/>
    </x:row>
    <x:row r="148">
      <x:c r="A148" s="197"/>
      <x:c r="B148" s="197"/>
      <x:c r="C148" s="197"/>
      <x:c r="D148" s="197"/>
      <x:c r="E148" s="197"/>
      <x:c r="F148" s="197"/>
      <x:c r="G148" s="198" t="n">
        <x:f>IF(E148="Mensile",F148,IF(E148="Annuale",F148/12,IF(E148="Lifetime",0,IF(E148="Variabile",F148,0))))</x:f>
        <x:v>0</x:v>
      </x:c>
      <x:c r="H148" s="197"/>
      <x:c r="I148" s="197"/>
      <x:c r="J148" s="197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  <x:c r="AA148" s="39"/>
      <x:c r="AB148" s="39"/>
      <x:c r="AC148" s="39"/>
      <x:c r="AD148" s="39"/>
      <x:c r="AE148" s="39"/>
      <x:c r="AF148" s="39"/>
      <x:c r="AG148" s="39"/>
    </x:row>
    <x:row r="149">
      <x:c r="A149" s="197"/>
      <x:c r="B149" s="197"/>
      <x:c r="C149" s="197"/>
      <x:c r="D149" s="197"/>
      <x:c r="E149" s="197"/>
      <x:c r="F149" s="197"/>
      <x:c r="G149" s="198" t="n">
        <x:f>IF(E149="Mensile",F149,IF(E149="Annuale",F149/12,IF(E149="Lifetime",0,IF(E149="Variabile",F149,0))))</x:f>
        <x:v>0</x:v>
      </x:c>
      <x:c r="H149" s="197"/>
      <x:c r="I149" s="197"/>
      <x:c r="J149" s="197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  <x:c r="AA149" s="39"/>
      <x:c r="AB149" s="39"/>
      <x:c r="AC149" s="39"/>
      <x:c r="AD149" s="39"/>
      <x:c r="AE149" s="39"/>
      <x:c r="AF149" s="39"/>
      <x:c r="AG149" s="39"/>
    </x:row>
    <x:row r="150">
      <x:c r="A150" s="197"/>
      <x:c r="B150" s="197"/>
      <x:c r="C150" s="197"/>
      <x:c r="D150" s="197"/>
      <x:c r="E150" s="197"/>
      <x:c r="F150" s="197"/>
      <x:c r="G150" s="198" t="n">
        <x:f>IF(E150="Mensile",F150,IF(E150="Annuale",F150/12,IF(E150="Lifetime",0,IF(E150="Variabile",F150,0))))</x:f>
        <x:v>0</x:v>
      </x:c>
      <x:c r="H150" s="197"/>
      <x:c r="I150" s="197"/>
      <x:c r="J150" s="197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  <x:c r="AA150" s="39"/>
      <x:c r="AB150" s="39"/>
      <x:c r="AC150" s="39"/>
      <x:c r="AD150" s="39"/>
      <x:c r="AE150" s="39"/>
      <x:c r="AF150" s="39"/>
      <x:c r="AG150" s="39"/>
    </x:row>
    <x:row r="151">
      <x:c r="A151" s="197"/>
      <x:c r="B151" s="197"/>
      <x:c r="C151" s="197"/>
      <x:c r="D151" s="197"/>
      <x:c r="E151" s="197"/>
      <x:c r="F151" s="197"/>
      <x:c r="G151" s="198" t="n">
        <x:f>IF(E151="Mensile",F151,IF(E151="Annuale",F151/12,IF(E151="Lifetime",0,IF(E151="Variabile",F151,0))))</x:f>
        <x:v>0</x:v>
      </x:c>
      <x:c r="H151" s="197"/>
      <x:c r="I151" s="197"/>
      <x:c r="J151" s="197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  <x:c r="AA151" s="39"/>
      <x:c r="AB151" s="39"/>
      <x:c r="AC151" s="39"/>
      <x:c r="AD151" s="39"/>
      <x:c r="AE151" s="39"/>
      <x:c r="AF151" s="39"/>
      <x:c r="AG151" s="39"/>
    </x:row>
    <x:row r="152">
      <x:c r="A152" s="197"/>
      <x:c r="B152" s="197"/>
      <x:c r="C152" s="197"/>
      <x:c r="D152" s="197"/>
      <x:c r="E152" s="197"/>
      <x:c r="F152" s="197"/>
      <x:c r="G152" s="198" t="n">
        <x:f>IF(E152="Mensile",F152,IF(E152="Annuale",F152/12,IF(E152="Lifetime",0,IF(E152="Variabile",F152,0))))</x:f>
        <x:v>0</x:v>
      </x:c>
      <x:c r="H152" s="197"/>
      <x:c r="I152" s="197"/>
      <x:c r="J152" s="197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  <x:c r="AA152" s="39"/>
      <x:c r="AB152" s="39"/>
      <x:c r="AC152" s="39"/>
      <x:c r="AD152" s="39"/>
      <x:c r="AE152" s="39"/>
      <x:c r="AF152" s="39"/>
      <x:c r="AG152" s="39"/>
    </x:row>
    <x:row r="153">
      <x:c r="A153" s="197"/>
      <x:c r="B153" s="197"/>
      <x:c r="C153" s="197"/>
      <x:c r="D153" s="197"/>
      <x:c r="E153" s="197"/>
      <x:c r="F153" s="197"/>
      <x:c r="G153" s="198" t="n">
        <x:f>IF(E153="Mensile",F153,IF(E153="Annuale",F153/12,IF(E153="Lifetime",0,IF(E153="Variabile",F153,0))))</x:f>
        <x:v>0</x:v>
      </x:c>
      <x:c r="H153" s="197"/>
      <x:c r="I153" s="197"/>
      <x:c r="J153" s="197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  <x:c r="AA153" s="39"/>
      <x:c r="AB153" s="39"/>
      <x:c r="AC153" s="39"/>
      <x:c r="AD153" s="39"/>
      <x:c r="AE153" s="39"/>
      <x:c r="AF153" s="39"/>
      <x:c r="AG153" s="39"/>
    </x:row>
    <x:row r="154">
      <x:c r="A154" s="197"/>
      <x:c r="B154" s="197"/>
      <x:c r="C154" s="197"/>
      <x:c r="D154" s="197"/>
      <x:c r="E154" s="197"/>
      <x:c r="F154" s="197"/>
      <x:c r="G154" s="198" t="n">
        <x:f>IF(E154="Mensile",F154,IF(E154="Annuale",F154/12,IF(E154="Lifetime",0,IF(E154="Variabile",F154,0))))</x:f>
        <x:v>0</x:v>
      </x:c>
      <x:c r="H154" s="197"/>
      <x:c r="I154" s="197"/>
      <x:c r="J154" s="197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  <x:c r="AA154" s="39"/>
      <x:c r="AB154" s="39"/>
      <x:c r="AC154" s="39"/>
      <x:c r="AD154" s="39"/>
      <x:c r="AE154" s="39"/>
      <x:c r="AF154" s="39"/>
      <x:c r="AG154" s="39"/>
    </x:row>
    <x:row r="155">
      <x:c r="A155" s="197"/>
      <x:c r="B155" s="197"/>
      <x:c r="C155" s="197"/>
      <x:c r="D155" s="197"/>
      <x:c r="E155" s="197"/>
      <x:c r="F155" s="197"/>
      <x:c r="G155" s="198" t="n">
        <x:f>IF(E155="Mensile",F155,IF(E155="Annuale",F155/12,IF(E155="Lifetime",0,IF(E155="Variabile",F155,0))))</x:f>
        <x:v>0</x:v>
      </x:c>
      <x:c r="H155" s="197"/>
      <x:c r="I155" s="197"/>
      <x:c r="J155" s="197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  <x:c r="AA155" s="39"/>
      <x:c r="AB155" s="39"/>
      <x:c r="AC155" s="39"/>
      <x:c r="AD155" s="39"/>
      <x:c r="AE155" s="39"/>
      <x:c r="AF155" s="39"/>
      <x:c r="AG155" s="39"/>
    </x:row>
    <x:row r="156">
      <x:c r="A156" s="197"/>
      <x:c r="B156" s="197"/>
      <x:c r="C156" s="197"/>
      <x:c r="D156" s="197"/>
      <x:c r="E156" s="197"/>
      <x:c r="F156" s="197"/>
      <x:c r="G156" s="198" t="n">
        <x:f>IF(E156="Mensile",F156,IF(E156="Annuale",F156/12,IF(E156="Lifetime",0,IF(E156="Variabile",F156,0))))</x:f>
        <x:v>0</x:v>
      </x:c>
      <x:c r="H156" s="197"/>
      <x:c r="I156" s="197"/>
      <x:c r="J156" s="197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  <x:c r="AA156" s="39"/>
      <x:c r="AB156" s="39"/>
      <x:c r="AC156" s="39"/>
      <x:c r="AD156" s="39"/>
      <x:c r="AE156" s="39"/>
      <x:c r="AF156" s="39"/>
      <x:c r="AG156" s="39"/>
    </x:row>
    <x:row r="157">
      <x:c r="A157" s="197"/>
      <x:c r="B157" s="197"/>
      <x:c r="C157" s="197"/>
      <x:c r="D157" s="197"/>
      <x:c r="E157" s="197"/>
      <x:c r="F157" s="197"/>
      <x:c r="G157" s="198" t="n">
        <x:f>IF(E157="Mensile",F157,IF(E157="Annuale",F157/12,IF(E157="Lifetime",0,IF(E157="Variabile",F157,0))))</x:f>
        <x:v>0</x:v>
      </x:c>
      <x:c r="H157" s="197"/>
      <x:c r="I157" s="197"/>
      <x:c r="J157" s="197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  <x:c r="AA157" s="39"/>
      <x:c r="AB157" s="39"/>
      <x:c r="AC157" s="39"/>
      <x:c r="AD157" s="39"/>
      <x:c r="AE157" s="39"/>
      <x:c r="AF157" s="39"/>
      <x:c r="AG157" s="39"/>
    </x:row>
    <x:row r="158">
      <x:c r="A158" s="197"/>
      <x:c r="B158" s="197"/>
      <x:c r="C158" s="197"/>
      <x:c r="D158" s="197"/>
      <x:c r="E158" s="197"/>
      <x:c r="F158" s="197"/>
      <x:c r="G158" s="198" t="n">
        <x:f>IF(E158="Mensile",F158,IF(E158="Annuale",F158/12,IF(E158="Lifetime",0,IF(E158="Variabile",F158,0))))</x:f>
        <x:v>0</x:v>
      </x:c>
      <x:c r="H158" s="197"/>
      <x:c r="I158" s="197"/>
      <x:c r="J158" s="197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  <x:c r="AA158" s="39"/>
      <x:c r="AB158" s="39"/>
      <x:c r="AC158" s="39"/>
      <x:c r="AD158" s="39"/>
      <x:c r="AE158" s="39"/>
      <x:c r="AF158" s="39"/>
      <x:c r="AG158" s="39"/>
    </x:row>
    <x:row r="159">
      <x:c r="A159" s="197"/>
      <x:c r="B159" s="197"/>
      <x:c r="C159" s="197"/>
      <x:c r="D159" s="197"/>
      <x:c r="E159" s="197"/>
      <x:c r="F159" s="197"/>
      <x:c r="G159" s="198" t="n">
        <x:f>IF(E159="Mensile",F159,IF(E159="Annuale",F159/12,IF(E159="Lifetime",0,IF(E159="Variabile",F159,0))))</x:f>
        <x:v>0</x:v>
      </x:c>
      <x:c r="H159" s="197"/>
      <x:c r="I159" s="197"/>
      <x:c r="J159" s="197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  <x:c r="AA159" s="39"/>
      <x:c r="AB159" s="39"/>
      <x:c r="AC159" s="39"/>
      <x:c r="AD159" s="39"/>
      <x:c r="AE159" s="39"/>
      <x:c r="AF159" s="39"/>
      <x:c r="AG159" s="39"/>
    </x:row>
    <x:row r="160">
      <x:c r="A160" s="197"/>
      <x:c r="B160" s="197"/>
      <x:c r="C160" s="197"/>
      <x:c r="D160" s="197"/>
      <x:c r="E160" s="197"/>
      <x:c r="F160" s="197"/>
      <x:c r="G160" s="198" t="n">
        <x:f>IF(E160="Mensile",F160,IF(E160="Annuale",F160/12,IF(E160="Lifetime",0,IF(E160="Variabile",F160,0))))</x:f>
        <x:v>0</x:v>
      </x:c>
      <x:c r="H160" s="197"/>
      <x:c r="I160" s="197"/>
      <x:c r="J160" s="197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  <x:c r="AA160" s="39"/>
      <x:c r="AB160" s="39"/>
      <x:c r="AC160" s="39"/>
      <x:c r="AD160" s="39"/>
      <x:c r="AE160" s="39"/>
      <x:c r="AF160" s="39"/>
      <x:c r="AG160" s="39"/>
    </x:row>
    <x:row r="161">
      <x:c r="A161" s="197"/>
      <x:c r="B161" s="197"/>
      <x:c r="C161" s="197"/>
      <x:c r="D161" s="197"/>
      <x:c r="E161" s="197"/>
      <x:c r="F161" s="197"/>
      <x:c r="G161" s="198" t="n">
        <x:f>IF(E161="Mensile",F161,IF(E161="Annuale",F161/12,IF(E161="Lifetime",0,IF(E161="Variabile",F161,0))))</x:f>
        <x:v>0</x:v>
      </x:c>
      <x:c r="H161" s="197"/>
      <x:c r="I161" s="197"/>
      <x:c r="J161" s="197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  <x:c r="AA161" s="39"/>
      <x:c r="AB161" s="39"/>
      <x:c r="AC161" s="39"/>
      <x:c r="AD161" s="39"/>
      <x:c r="AE161" s="39"/>
      <x:c r="AF161" s="39"/>
      <x:c r="AG161" s="39"/>
    </x:row>
    <x:row r="162">
      <x:c r="A162" s="197"/>
      <x:c r="B162" s="197"/>
      <x:c r="C162" s="197"/>
      <x:c r="D162" s="197"/>
      <x:c r="E162" s="197"/>
      <x:c r="F162" s="197"/>
      <x:c r="G162" s="198" t="n">
        <x:f>IF(E162="Mensile",F162,IF(E162="Annuale",F162/12,IF(E162="Lifetime",0,IF(E162="Variabile",F162,0))))</x:f>
        <x:v>0</x:v>
      </x:c>
      <x:c r="H162" s="197"/>
      <x:c r="I162" s="197"/>
      <x:c r="J162" s="197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  <x:c r="AA162" s="39"/>
      <x:c r="AB162" s="39"/>
      <x:c r="AC162" s="39"/>
      <x:c r="AD162" s="39"/>
      <x:c r="AE162" s="39"/>
      <x:c r="AF162" s="39"/>
      <x:c r="AG162" s="39"/>
    </x:row>
    <x:row r="163">
      <x:c r="A163" s="197"/>
      <x:c r="B163" s="197"/>
      <x:c r="C163" s="197"/>
      <x:c r="D163" s="197"/>
      <x:c r="E163" s="197"/>
      <x:c r="F163" s="197"/>
      <x:c r="G163" s="198" t="n">
        <x:f>IF(E163="Mensile",F163,IF(E163="Annuale",F163/12,IF(E163="Lifetime",0,IF(E163="Variabile",F163,0))))</x:f>
        <x:v>0</x:v>
      </x:c>
      <x:c r="H163" s="197"/>
      <x:c r="I163" s="197"/>
      <x:c r="J163" s="197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  <x:c r="AA163" s="39"/>
      <x:c r="AB163" s="39"/>
      <x:c r="AC163" s="39"/>
      <x:c r="AD163" s="39"/>
      <x:c r="AE163" s="39"/>
      <x:c r="AF163" s="39"/>
      <x:c r="AG163" s="39"/>
    </x:row>
    <x:row r="164">
      <x:c r="A164" s="197"/>
      <x:c r="B164" s="197"/>
      <x:c r="C164" s="197"/>
      <x:c r="D164" s="197"/>
      <x:c r="E164" s="197"/>
      <x:c r="F164" s="197"/>
      <x:c r="G164" s="198" t="n">
        <x:f>IF(E164="Mensile",F164,IF(E164="Annuale",F164/12,IF(E164="Lifetime",0,IF(E164="Variabile",F164,0))))</x:f>
        <x:v>0</x:v>
      </x:c>
      <x:c r="H164" s="197"/>
      <x:c r="I164" s="197"/>
      <x:c r="J164" s="197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  <x:c r="AA164" s="39"/>
      <x:c r="AB164" s="39"/>
      <x:c r="AC164" s="39"/>
      <x:c r="AD164" s="39"/>
      <x:c r="AE164" s="39"/>
      <x:c r="AF164" s="39"/>
      <x:c r="AG164" s="39"/>
    </x:row>
    <x:row r="165">
      <x:c r="A165" s="197"/>
      <x:c r="B165" s="197"/>
      <x:c r="C165" s="197"/>
      <x:c r="D165" s="197"/>
      <x:c r="E165" s="197"/>
      <x:c r="F165" s="197"/>
      <x:c r="G165" s="198" t="n">
        <x:f>IF(E165="Mensile",F165,IF(E165="Annuale",F165/12,IF(E165="Lifetime",0,IF(E165="Variabile",F165,0))))</x:f>
        <x:v>0</x:v>
      </x:c>
      <x:c r="H165" s="197"/>
      <x:c r="I165" s="197"/>
      <x:c r="J165" s="197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  <x:c r="AA165" s="39"/>
      <x:c r="AB165" s="39"/>
      <x:c r="AC165" s="39"/>
      <x:c r="AD165" s="39"/>
      <x:c r="AE165" s="39"/>
      <x:c r="AF165" s="39"/>
      <x:c r="AG165" s="39"/>
    </x:row>
    <x:row r="166">
      <x:c r="A166" s="197"/>
      <x:c r="B166" s="197"/>
      <x:c r="C166" s="197"/>
      <x:c r="D166" s="197"/>
      <x:c r="E166" s="197"/>
      <x:c r="F166" s="197"/>
      <x:c r="G166" s="198" t="n">
        <x:f>IF(E166="Mensile",F166,IF(E166="Annuale",F166/12,IF(E166="Lifetime",0,IF(E166="Variabile",F166,0))))</x:f>
        <x:v>0</x:v>
      </x:c>
      <x:c r="H166" s="197"/>
      <x:c r="I166" s="197"/>
      <x:c r="J166" s="197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  <x:c r="AA166" s="39"/>
      <x:c r="AB166" s="39"/>
      <x:c r="AC166" s="39"/>
      <x:c r="AD166" s="39"/>
      <x:c r="AE166" s="39"/>
      <x:c r="AF166" s="39"/>
      <x:c r="AG166" s="39"/>
    </x:row>
    <x:row r="167">
      <x:c r="A167" s="197"/>
      <x:c r="B167" s="197"/>
      <x:c r="C167" s="197"/>
      <x:c r="D167" s="197"/>
      <x:c r="E167" s="197"/>
      <x:c r="F167" s="197"/>
      <x:c r="G167" s="198" t="n">
        <x:f>IF(E167="Mensile",F167,IF(E167="Annuale",F167/12,IF(E167="Lifetime",0,IF(E167="Variabile",F167,0))))</x:f>
        <x:v>0</x:v>
      </x:c>
      <x:c r="H167" s="197"/>
      <x:c r="I167" s="197"/>
      <x:c r="J167" s="197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  <x:c r="AA167" s="39"/>
      <x:c r="AB167" s="39"/>
      <x:c r="AC167" s="39"/>
      <x:c r="AD167" s="39"/>
      <x:c r="AE167" s="39"/>
      <x:c r="AF167" s="39"/>
      <x:c r="AG167" s="39"/>
    </x:row>
    <x:row r="168">
      <x:c r="A168" s="197"/>
      <x:c r="B168" s="197"/>
      <x:c r="C168" s="197"/>
      <x:c r="D168" s="197"/>
      <x:c r="E168" s="197"/>
      <x:c r="F168" s="197"/>
      <x:c r="G168" s="198" t="n">
        <x:f>IF(E168="Mensile",F168,IF(E168="Annuale",F168/12,IF(E168="Lifetime",0,IF(E168="Variabile",F168,0))))</x:f>
        <x:v>0</x:v>
      </x:c>
      <x:c r="H168" s="197"/>
      <x:c r="I168" s="197"/>
      <x:c r="J168" s="197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  <x:c r="AA168" s="39"/>
      <x:c r="AB168" s="39"/>
      <x:c r="AC168" s="39"/>
      <x:c r="AD168" s="39"/>
      <x:c r="AE168" s="39"/>
      <x:c r="AF168" s="39"/>
      <x:c r="AG168" s="39"/>
    </x:row>
    <x:row r="169">
      <x:c r="A169" s="197"/>
      <x:c r="B169" s="197"/>
      <x:c r="C169" s="197"/>
      <x:c r="D169" s="197"/>
      <x:c r="E169" s="197"/>
      <x:c r="F169" s="197"/>
      <x:c r="G169" s="198" t="n">
        <x:f>IF(E169="Mensile",F169,IF(E169="Annuale",F169/12,IF(E169="Lifetime",0,IF(E169="Variabile",F169,0))))</x:f>
        <x:v>0</x:v>
      </x:c>
      <x:c r="H169" s="197"/>
      <x:c r="I169" s="197"/>
      <x:c r="J169" s="197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  <x:c r="AA169" s="39"/>
      <x:c r="AB169" s="39"/>
      <x:c r="AC169" s="39"/>
      <x:c r="AD169" s="39"/>
      <x:c r="AE169" s="39"/>
      <x:c r="AF169" s="39"/>
      <x:c r="AG169" s="39"/>
    </x:row>
    <x:row r="170">
      <x:c r="A170" s="197"/>
      <x:c r="B170" s="197"/>
      <x:c r="C170" s="197"/>
      <x:c r="D170" s="197"/>
      <x:c r="E170" s="197"/>
      <x:c r="F170" s="197"/>
      <x:c r="G170" s="198" t="n">
        <x:f>IF(E170="Mensile",F170,IF(E170="Annuale",F170/12,IF(E170="Lifetime",0,IF(E170="Variabile",F170,0))))</x:f>
        <x:v>0</x:v>
      </x:c>
      <x:c r="H170" s="197"/>
      <x:c r="I170" s="197"/>
      <x:c r="J170" s="197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  <x:c r="AA170" s="39"/>
      <x:c r="AB170" s="39"/>
      <x:c r="AC170" s="39"/>
      <x:c r="AD170" s="39"/>
      <x:c r="AE170" s="39"/>
      <x:c r="AF170" s="39"/>
      <x:c r="AG170" s="39"/>
    </x:row>
    <x:row r="171">
      <x:c r="A171" s="197"/>
      <x:c r="B171" s="197"/>
      <x:c r="C171" s="197"/>
      <x:c r="D171" s="197"/>
      <x:c r="E171" s="197"/>
      <x:c r="F171" s="197"/>
      <x:c r="G171" s="198" t="n">
        <x:f>IF(E171="Mensile",F171,IF(E171="Annuale",F171/12,IF(E171="Lifetime",0,IF(E171="Variabile",F171,0))))</x:f>
        <x:v>0</x:v>
      </x:c>
      <x:c r="H171" s="197"/>
      <x:c r="I171" s="197"/>
      <x:c r="J171" s="197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  <x:c r="AA171" s="39"/>
      <x:c r="AB171" s="39"/>
      <x:c r="AC171" s="39"/>
      <x:c r="AD171" s="39"/>
      <x:c r="AE171" s="39"/>
      <x:c r="AF171" s="39"/>
      <x:c r="AG171" s="39"/>
    </x:row>
    <x:row r="172">
      <x:c r="A172" s="197"/>
      <x:c r="B172" s="197"/>
      <x:c r="C172" s="197"/>
      <x:c r="D172" s="197"/>
      <x:c r="E172" s="197"/>
      <x:c r="F172" s="197"/>
      <x:c r="G172" s="198" t="n">
        <x:f>IF(E172="Mensile",F172,IF(E172="Annuale",F172/12,IF(E172="Lifetime",0,IF(E172="Variabile",F172,0))))</x:f>
        <x:v>0</x:v>
      </x:c>
      <x:c r="H172" s="197"/>
      <x:c r="I172" s="197"/>
      <x:c r="J172" s="197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  <x:c r="AA172" s="39"/>
      <x:c r="AB172" s="39"/>
      <x:c r="AC172" s="39"/>
      <x:c r="AD172" s="39"/>
      <x:c r="AE172" s="39"/>
      <x:c r="AF172" s="39"/>
      <x:c r="AG172" s="39"/>
    </x:row>
    <x:row r="173">
      <x:c r="A173" s="197"/>
      <x:c r="B173" s="197"/>
      <x:c r="C173" s="197"/>
      <x:c r="D173" s="197"/>
      <x:c r="E173" s="197"/>
      <x:c r="F173" s="197"/>
      <x:c r="G173" s="198" t="n">
        <x:f>IF(E173="Mensile",F173,IF(E173="Annuale",F173/12,IF(E173="Lifetime",0,IF(E173="Variabile",F173,0))))</x:f>
        <x:v>0</x:v>
      </x:c>
      <x:c r="H173" s="197"/>
      <x:c r="I173" s="197"/>
      <x:c r="J173" s="197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  <x:c r="AA173" s="39"/>
      <x:c r="AB173" s="39"/>
      <x:c r="AC173" s="39"/>
      <x:c r="AD173" s="39"/>
      <x:c r="AE173" s="39"/>
      <x:c r="AF173" s="39"/>
      <x:c r="AG173" s="39"/>
    </x:row>
    <x:row r="174">
      <x:c r="A174" s="197"/>
      <x:c r="B174" s="197"/>
      <x:c r="C174" s="197"/>
      <x:c r="D174" s="197"/>
      <x:c r="E174" s="197"/>
      <x:c r="F174" s="197"/>
      <x:c r="G174" s="198" t="n">
        <x:f>IF(E174="Mensile",F174,IF(E174="Annuale",F174/12,IF(E174="Lifetime",0,IF(E174="Variabile",F174,0))))</x:f>
        <x:v>0</x:v>
      </x:c>
      <x:c r="H174" s="197"/>
      <x:c r="I174" s="197"/>
      <x:c r="J174" s="197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  <x:c r="AA174" s="39"/>
      <x:c r="AB174" s="39"/>
      <x:c r="AC174" s="39"/>
      <x:c r="AD174" s="39"/>
      <x:c r="AE174" s="39"/>
      <x:c r="AF174" s="39"/>
      <x:c r="AG174" s="39"/>
    </x:row>
    <x:row r="175">
      <x:c r="A175" s="197"/>
      <x:c r="B175" s="197"/>
      <x:c r="C175" s="197"/>
      <x:c r="D175" s="197"/>
      <x:c r="E175" s="197"/>
      <x:c r="F175" s="197"/>
      <x:c r="G175" s="198" t="n">
        <x:f>IF(E175="Mensile",F175,IF(E175="Annuale",F175/12,IF(E175="Lifetime",0,IF(E175="Variabile",F175,0))))</x:f>
        <x:v>0</x:v>
      </x:c>
      <x:c r="H175" s="197"/>
      <x:c r="I175" s="197"/>
      <x:c r="J175" s="197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  <x:c r="AA175" s="39"/>
      <x:c r="AB175" s="39"/>
      <x:c r="AC175" s="39"/>
      <x:c r="AD175" s="39"/>
      <x:c r="AE175" s="39"/>
      <x:c r="AF175" s="39"/>
      <x:c r="AG175" s="39"/>
    </x:row>
    <x:row r="176">
      <x:c r="A176" s="197"/>
      <x:c r="B176" s="197"/>
      <x:c r="C176" s="197"/>
      <x:c r="D176" s="197"/>
      <x:c r="E176" s="197"/>
      <x:c r="F176" s="197"/>
      <x:c r="G176" s="198" t="n">
        <x:f>IF(E176="Mensile",F176,IF(E176="Annuale",F176/12,IF(E176="Lifetime",0,IF(E176="Variabile",F176,0))))</x:f>
        <x:v>0</x:v>
      </x:c>
      <x:c r="H176" s="197"/>
      <x:c r="I176" s="197"/>
      <x:c r="J176" s="197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  <x:c r="AA176" s="39"/>
      <x:c r="AB176" s="39"/>
      <x:c r="AC176" s="39"/>
      <x:c r="AD176" s="39"/>
      <x:c r="AE176" s="39"/>
      <x:c r="AF176" s="39"/>
      <x:c r="AG176" s="39"/>
    </x:row>
    <x:row r="177">
      <x:c r="A177" s="197"/>
      <x:c r="B177" s="197"/>
      <x:c r="C177" s="197"/>
      <x:c r="D177" s="197"/>
      <x:c r="E177" s="197"/>
      <x:c r="F177" s="197"/>
      <x:c r="G177" s="198" t="n">
        <x:f>IF(E177="Mensile",F177,IF(E177="Annuale",F177/12,IF(E177="Lifetime",0,IF(E177="Variabile",F177,0))))</x:f>
        <x:v>0</x:v>
      </x:c>
      <x:c r="H177" s="197"/>
      <x:c r="I177" s="197"/>
      <x:c r="J177" s="197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  <x:c r="AA177" s="39"/>
      <x:c r="AB177" s="39"/>
      <x:c r="AC177" s="39"/>
      <x:c r="AD177" s="39"/>
      <x:c r="AE177" s="39"/>
      <x:c r="AF177" s="39"/>
      <x:c r="AG177" s="39"/>
    </x:row>
    <x:row r="178">
      <x:c r="A178" s="197"/>
      <x:c r="B178" s="197"/>
      <x:c r="C178" s="197"/>
      <x:c r="D178" s="197"/>
      <x:c r="E178" s="197"/>
      <x:c r="F178" s="197"/>
      <x:c r="G178" s="198" t="n">
        <x:f>IF(E178="Mensile",F178,IF(E178="Annuale",F178/12,IF(E178="Lifetime",0,IF(E178="Variabile",F178,0))))</x:f>
        <x:v>0</x:v>
      </x:c>
      <x:c r="H178" s="197"/>
      <x:c r="I178" s="197"/>
      <x:c r="J178" s="197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  <x:c r="AA178" s="39"/>
      <x:c r="AB178" s="39"/>
      <x:c r="AC178" s="39"/>
      <x:c r="AD178" s="39"/>
      <x:c r="AE178" s="39"/>
      <x:c r="AF178" s="39"/>
      <x:c r="AG178" s="39"/>
    </x:row>
    <x:row r="179">
      <x:c r="A179" s="197"/>
      <x:c r="B179" s="197"/>
      <x:c r="C179" s="197"/>
      <x:c r="D179" s="197"/>
      <x:c r="E179" s="197"/>
      <x:c r="F179" s="197"/>
      <x:c r="G179" s="198" t="n">
        <x:f>IF(E179="Mensile",F179,IF(E179="Annuale",F179/12,IF(E179="Lifetime",0,IF(E179="Variabile",F179,0))))</x:f>
        <x:v>0</x:v>
      </x:c>
      <x:c r="H179" s="197"/>
      <x:c r="I179" s="197"/>
      <x:c r="J179" s="197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  <x:c r="AA179" s="39"/>
      <x:c r="AB179" s="39"/>
      <x:c r="AC179" s="39"/>
      <x:c r="AD179" s="39"/>
      <x:c r="AE179" s="39"/>
      <x:c r="AF179" s="39"/>
      <x:c r="AG179" s="39"/>
    </x:row>
    <x:row r="180">
      <x:c r="A180" s="197"/>
      <x:c r="B180" s="197"/>
      <x:c r="C180" s="197"/>
      <x:c r="D180" s="197"/>
      <x:c r="E180" s="197"/>
      <x:c r="F180" s="197"/>
      <x:c r="G180" s="198" t="n">
        <x:f>IF(E180="Mensile",F180,IF(E180="Annuale",F180/12,IF(E180="Lifetime",0,IF(E180="Variabile",F180,0))))</x:f>
        <x:v>0</x:v>
      </x:c>
      <x:c r="H180" s="197"/>
      <x:c r="I180" s="197"/>
      <x:c r="J180" s="197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  <x:c r="AA180" s="39"/>
      <x:c r="AB180" s="39"/>
      <x:c r="AC180" s="39"/>
      <x:c r="AD180" s="39"/>
      <x:c r="AE180" s="39"/>
      <x:c r="AF180" s="39"/>
      <x:c r="AG180" s="39"/>
    </x:row>
    <x:row r="181">
      <x:c r="A181" s="197"/>
      <x:c r="B181" s="197"/>
      <x:c r="C181" s="197"/>
      <x:c r="D181" s="197"/>
      <x:c r="E181" s="197"/>
      <x:c r="F181" s="197"/>
      <x:c r="G181" s="198" t="n">
        <x:f>IF(E181="Mensile",F181,IF(E181="Annuale",F181/12,IF(E181="Lifetime",0,IF(E181="Variabile",F181,0))))</x:f>
        <x:v>0</x:v>
      </x:c>
      <x:c r="H181" s="197"/>
      <x:c r="I181" s="197"/>
      <x:c r="J181" s="197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  <x:c r="AA181" s="39"/>
      <x:c r="AB181" s="39"/>
      <x:c r="AC181" s="39"/>
      <x:c r="AD181" s="39"/>
      <x:c r="AE181" s="39"/>
      <x:c r="AF181" s="39"/>
      <x:c r="AG181" s="39"/>
    </x:row>
    <x:row r="182">
      <x:c r="A182" s="197"/>
      <x:c r="B182" s="197"/>
      <x:c r="C182" s="197"/>
      <x:c r="D182" s="197"/>
      <x:c r="E182" s="197"/>
      <x:c r="F182" s="197"/>
      <x:c r="G182" s="198" t="n">
        <x:f>IF(E182="Mensile",F182,IF(E182="Annuale",F182/12,IF(E182="Lifetime",0,IF(E182="Variabile",F182,0))))</x:f>
        <x:v>0</x:v>
      </x:c>
      <x:c r="H182" s="197"/>
      <x:c r="I182" s="197"/>
      <x:c r="J182" s="197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  <x:c r="AA182" s="39"/>
      <x:c r="AB182" s="39"/>
      <x:c r="AC182" s="39"/>
      <x:c r="AD182" s="39"/>
      <x:c r="AE182" s="39"/>
      <x:c r="AF182" s="39"/>
      <x:c r="AG182" s="39"/>
    </x:row>
    <x:row r="183">
      <x:c r="A183" s="197"/>
      <x:c r="B183" s="197"/>
      <x:c r="C183" s="197"/>
      <x:c r="D183" s="197"/>
      <x:c r="E183" s="197"/>
      <x:c r="F183" s="197"/>
      <x:c r="G183" s="198" t="n">
        <x:f>IF(E183="Mensile",F183,IF(E183="Annuale",F183/12,IF(E183="Lifetime",0,IF(E183="Variabile",F183,0))))</x:f>
        <x:v>0</x:v>
      </x:c>
      <x:c r="H183" s="197"/>
      <x:c r="I183" s="197"/>
      <x:c r="J183" s="197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  <x:c r="AA183" s="39"/>
      <x:c r="AB183" s="39"/>
      <x:c r="AC183" s="39"/>
      <x:c r="AD183" s="39"/>
      <x:c r="AE183" s="39"/>
      <x:c r="AF183" s="39"/>
      <x:c r="AG183" s="39"/>
    </x:row>
    <x:row r="184">
      <x:c r="A184" s="197"/>
      <x:c r="B184" s="197"/>
      <x:c r="C184" s="197"/>
      <x:c r="D184" s="197"/>
      <x:c r="E184" s="197"/>
      <x:c r="F184" s="197"/>
      <x:c r="G184" s="198" t="n">
        <x:f>IF(E184="Mensile",F184,IF(E184="Annuale",F184/12,IF(E184="Lifetime",0,IF(E184="Variabile",F184,0))))</x:f>
        <x:v>0</x:v>
      </x:c>
      <x:c r="H184" s="197"/>
      <x:c r="I184" s="197"/>
      <x:c r="J184" s="197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  <x:c r="AA184" s="39"/>
      <x:c r="AB184" s="39"/>
      <x:c r="AC184" s="39"/>
      <x:c r="AD184" s="39"/>
      <x:c r="AE184" s="39"/>
      <x:c r="AF184" s="39"/>
      <x:c r="AG184" s="39"/>
    </x:row>
    <x:row r="185">
      <x:c r="A185" s="197"/>
      <x:c r="B185" s="197"/>
      <x:c r="C185" s="197"/>
      <x:c r="D185" s="197"/>
      <x:c r="E185" s="197"/>
      <x:c r="F185" s="197"/>
      <x:c r="G185" s="198" t="n">
        <x:f>IF(E185="Mensile",F185,IF(E185="Annuale",F185/12,IF(E185="Lifetime",0,IF(E185="Variabile",F185,0))))</x:f>
        <x:v>0</x:v>
      </x:c>
      <x:c r="H185" s="197"/>
      <x:c r="I185" s="197"/>
      <x:c r="J185" s="197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  <x:c r="AA185" s="39"/>
      <x:c r="AB185" s="39"/>
      <x:c r="AC185" s="39"/>
      <x:c r="AD185" s="39"/>
      <x:c r="AE185" s="39"/>
      <x:c r="AF185" s="39"/>
      <x:c r="AG185" s="39"/>
    </x:row>
    <x:row r="186">
      <x:c r="A186" s="197"/>
      <x:c r="B186" s="197"/>
      <x:c r="C186" s="197"/>
      <x:c r="D186" s="197"/>
      <x:c r="E186" s="197"/>
      <x:c r="F186" s="197"/>
      <x:c r="G186" s="198" t="n">
        <x:f>IF(E186="Mensile",F186,IF(E186="Annuale",F186/12,IF(E186="Lifetime",0,IF(E186="Variabile",F186,0))))</x:f>
        <x:v>0</x:v>
      </x:c>
      <x:c r="H186" s="197"/>
      <x:c r="I186" s="197"/>
      <x:c r="J186" s="197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  <x:c r="AA186" s="39"/>
      <x:c r="AB186" s="39"/>
      <x:c r="AC186" s="39"/>
      <x:c r="AD186" s="39"/>
      <x:c r="AE186" s="39"/>
      <x:c r="AF186" s="39"/>
      <x:c r="AG186" s="39"/>
    </x:row>
    <x:row r="187">
      <x:c r="A187" s="197"/>
      <x:c r="B187" s="197"/>
      <x:c r="C187" s="197"/>
      <x:c r="D187" s="197"/>
      <x:c r="E187" s="197"/>
      <x:c r="F187" s="197"/>
      <x:c r="G187" s="198" t="n">
        <x:f>IF(E187="Mensile",F187,IF(E187="Annuale",F187/12,IF(E187="Lifetime",0,IF(E187="Variabile",F187,0))))</x:f>
        <x:v>0</x:v>
      </x:c>
      <x:c r="H187" s="197"/>
      <x:c r="I187" s="197"/>
      <x:c r="J187" s="197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  <x:c r="AA187" s="39"/>
      <x:c r="AB187" s="39"/>
      <x:c r="AC187" s="39"/>
      <x:c r="AD187" s="39"/>
      <x:c r="AE187" s="39"/>
      <x:c r="AF187" s="39"/>
      <x:c r="AG187" s="39"/>
    </x:row>
    <x:row r="188">
      <x:c r="A188" s="197"/>
      <x:c r="B188" s="197"/>
      <x:c r="C188" s="197"/>
      <x:c r="D188" s="197"/>
      <x:c r="E188" s="197"/>
      <x:c r="F188" s="197"/>
      <x:c r="G188" s="198" t="n">
        <x:f>IF(E188="Mensile",F188,IF(E188="Annuale",F188/12,IF(E188="Lifetime",0,IF(E188="Variabile",F188,0))))</x:f>
        <x:v>0</x:v>
      </x:c>
      <x:c r="H188" s="197"/>
      <x:c r="I188" s="197"/>
      <x:c r="J188" s="197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  <x:c r="AA188" s="39"/>
      <x:c r="AB188" s="39"/>
      <x:c r="AC188" s="39"/>
      <x:c r="AD188" s="39"/>
      <x:c r="AE188" s="39"/>
      <x:c r="AF188" s="39"/>
      <x:c r="AG188" s="39"/>
    </x:row>
    <x:row r="189">
      <x:c r="A189" s="197"/>
      <x:c r="B189" s="197"/>
      <x:c r="C189" s="197"/>
      <x:c r="D189" s="197"/>
      <x:c r="E189" s="197"/>
      <x:c r="F189" s="197"/>
      <x:c r="G189" s="198" t="n">
        <x:f>IF(E189="Mensile",F189,IF(E189="Annuale",F189/12,IF(E189="Lifetime",0,IF(E189="Variabile",F189,0))))</x:f>
        <x:v>0</x:v>
      </x:c>
      <x:c r="H189" s="197"/>
      <x:c r="I189" s="197"/>
      <x:c r="J189" s="197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  <x:c r="AA189" s="39"/>
      <x:c r="AB189" s="39"/>
      <x:c r="AC189" s="39"/>
      <x:c r="AD189" s="39"/>
      <x:c r="AE189" s="39"/>
      <x:c r="AF189" s="39"/>
      <x:c r="AG189" s="39"/>
    </x:row>
    <x:row r="190">
      <x:c r="A190" s="197"/>
      <x:c r="B190" s="197"/>
      <x:c r="C190" s="197"/>
      <x:c r="D190" s="197"/>
      <x:c r="E190" s="197"/>
      <x:c r="F190" s="197"/>
      <x:c r="G190" s="198" t="n">
        <x:f>IF(E190="Mensile",F190,IF(E190="Annuale",F190/12,IF(E190="Lifetime",0,IF(E190="Variabile",F190,0))))</x:f>
        <x:v>0</x:v>
      </x:c>
      <x:c r="H190" s="197"/>
      <x:c r="I190" s="197"/>
      <x:c r="J190" s="197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  <x:c r="AA190" s="39"/>
      <x:c r="AB190" s="39"/>
      <x:c r="AC190" s="39"/>
      <x:c r="AD190" s="39"/>
      <x:c r="AE190" s="39"/>
      <x:c r="AF190" s="39"/>
      <x:c r="AG190" s="39"/>
    </x:row>
    <x:row r="191">
      <x:c r="A191" s="197"/>
      <x:c r="B191" s="197"/>
      <x:c r="C191" s="197"/>
      <x:c r="D191" s="197"/>
      <x:c r="E191" s="197"/>
      <x:c r="F191" s="197"/>
      <x:c r="G191" s="198" t="n">
        <x:f>IF(E191="Mensile",F191,IF(E191="Annuale",F191/12,IF(E191="Lifetime",0,IF(E191="Variabile",F191,0))))</x:f>
        <x:v>0</x:v>
      </x:c>
      <x:c r="H191" s="197"/>
      <x:c r="I191" s="197"/>
      <x:c r="J191" s="197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  <x:c r="AA191" s="39"/>
      <x:c r="AB191" s="39"/>
      <x:c r="AC191" s="39"/>
      <x:c r="AD191" s="39"/>
      <x:c r="AE191" s="39"/>
      <x:c r="AF191" s="39"/>
      <x:c r="AG191" s="39"/>
    </x:row>
    <x:row r="192">
      <x:c r="A192" s="197"/>
      <x:c r="B192" s="197"/>
      <x:c r="C192" s="197"/>
      <x:c r="D192" s="197"/>
      <x:c r="E192" s="197"/>
      <x:c r="F192" s="197"/>
      <x:c r="G192" s="198" t="n">
        <x:f>IF(E192="Mensile",F192,IF(E192="Annuale",F192/12,IF(E192="Lifetime",0,IF(E192="Variabile",F192,0))))</x:f>
        <x:v>0</x:v>
      </x:c>
      <x:c r="H192" s="197"/>
      <x:c r="I192" s="197"/>
      <x:c r="J192" s="197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  <x:c r="AA192" s="39"/>
      <x:c r="AB192" s="39"/>
      <x:c r="AC192" s="39"/>
      <x:c r="AD192" s="39"/>
      <x:c r="AE192" s="39"/>
      <x:c r="AF192" s="39"/>
      <x:c r="AG192" s="39"/>
    </x:row>
    <x:row r="193">
      <x:c r="A193" s="197"/>
      <x:c r="B193" s="197"/>
      <x:c r="C193" s="197"/>
      <x:c r="D193" s="197"/>
      <x:c r="E193" s="197"/>
      <x:c r="F193" s="197"/>
      <x:c r="G193" s="198" t="n">
        <x:f>IF(E193="Mensile",F193,IF(E193="Annuale",F193/12,IF(E193="Lifetime",0,IF(E193="Variabile",F193,0))))</x:f>
        <x:v>0</x:v>
      </x:c>
      <x:c r="H193" s="197"/>
      <x:c r="I193" s="197"/>
      <x:c r="J193" s="197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  <x:c r="AA193" s="39"/>
      <x:c r="AB193" s="39"/>
      <x:c r="AC193" s="39"/>
      <x:c r="AD193" s="39"/>
      <x:c r="AE193" s="39"/>
      <x:c r="AF193" s="39"/>
      <x:c r="AG193" s="39"/>
    </x:row>
    <x:row r="194">
      <x:c r="A194" s="197"/>
      <x:c r="B194" s="197"/>
      <x:c r="C194" s="197"/>
      <x:c r="D194" s="197"/>
      <x:c r="E194" s="197"/>
      <x:c r="F194" s="197"/>
      <x:c r="G194" s="198" t="n">
        <x:f>IF(E194="Mensile",F194,IF(E194="Annuale",F194/12,IF(E194="Lifetime",0,IF(E194="Variabile",F194,0))))</x:f>
        <x:v>0</x:v>
      </x:c>
      <x:c r="H194" s="197"/>
      <x:c r="I194" s="197"/>
      <x:c r="J194" s="197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  <x:c r="AA194" s="39"/>
      <x:c r="AB194" s="39"/>
      <x:c r="AC194" s="39"/>
      <x:c r="AD194" s="39"/>
      <x:c r="AE194" s="39"/>
      <x:c r="AF194" s="39"/>
      <x:c r="AG194" s="39"/>
    </x:row>
    <x:row r="195">
      <x:c r="A195" s="197"/>
      <x:c r="B195" s="197"/>
      <x:c r="C195" s="197"/>
      <x:c r="D195" s="197"/>
      <x:c r="E195" s="197"/>
      <x:c r="F195" s="197"/>
      <x:c r="G195" s="198" t="n">
        <x:f>IF(E195="Mensile",F195,IF(E195="Annuale",F195/12,IF(E195="Lifetime",0,IF(E195="Variabile",F195,0))))</x:f>
        <x:v>0</x:v>
      </x:c>
      <x:c r="H195" s="197"/>
      <x:c r="I195" s="197"/>
      <x:c r="J195" s="197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  <x:c r="AA195" s="39"/>
      <x:c r="AB195" s="39"/>
      <x:c r="AC195" s="39"/>
      <x:c r="AD195" s="39"/>
      <x:c r="AE195" s="39"/>
      <x:c r="AF195" s="39"/>
      <x:c r="AG195" s="39"/>
    </x:row>
    <x:row r="196">
      <x:c r="A196" s="197"/>
      <x:c r="B196" s="197"/>
      <x:c r="C196" s="197"/>
      <x:c r="D196" s="197"/>
      <x:c r="E196" s="197"/>
      <x:c r="F196" s="197"/>
      <x:c r="G196" s="198" t="n">
        <x:f>IF(E196="Mensile",F196,IF(E196="Annuale",F196/12,IF(E196="Lifetime",0,IF(E196="Variabile",F196,0))))</x:f>
        <x:v>0</x:v>
      </x:c>
      <x:c r="H196" s="197"/>
      <x:c r="I196" s="197"/>
      <x:c r="J196" s="197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  <x:c r="AA196" s="39"/>
      <x:c r="AB196" s="39"/>
      <x:c r="AC196" s="39"/>
      <x:c r="AD196" s="39"/>
      <x:c r="AE196" s="39"/>
      <x:c r="AF196" s="39"/>
      <x:c r="AG196" s="39"/>
    </x:row>
    <x:row r="197">
      <x:c r="A197" s="197"/>
      <x:c r="B197" s="197"/>
      <x:c r="C197" s="197"/>
      <x:c r="D197" s="197"/>
      <x:c r="E197" s="197"/>
      <x:c r="F197" s="197"/>
      <x:c r="G197" s="198" t="n">
        <x:f>IF(E197="Mensile",F197,IF(E197="Annuale",F197/12,IF(E197="Lifetime",0,IF(E197="Variabile",F197,0))))</x:f>
        <x:v>0</x:v>
      </x:c>
      <x:c r="H197" s="197"/>
      <x:c r="I197" s="197"/>
      <x:c r="J197" s="197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  <x:c r="AA197" s="39"/>
      <x:c r="AB197" s="39"/>
      <x:c r="AC197" s="39"/>
      <x:c r="AD197" s="39"/>
      <x:c r="AE197" s="39"/>
      <x:c r="AF197" s="39"/>
      <x:c r="AG197" s="39"/>
    </x:row>
    <x:row r="198">
      <x:c r="A198" s="197"/>
      <x:c r="B198" s="197"/>
      <x:c r="C198" s="197"/>
      <x:c r="D198" s="197"/>
      <x:c r="E198" s="197"/>
      <x:c r="F198" s="197"/>
      <x:c r="G198" s="198" t="n">
        <x:f>IF(E198="Mensile",F198,IF(E198="Annuale",F198/12,IF(E198="Lifetime",0,IF(E198="Variabile",F198,0))))</x:f>
        <x:v>0</x:v>
      </x:c>
      <x:c r="H198" s="197"/>
      <x:c r="I198" s="197"/>
      <x:c r="J198" s="197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  <x:c r="AA198" s="39"/>
      <x:c r="AB198" s="39"/>
      <x:c r="AC198" s="39"/>
      <x:c r="AD198" s="39"/>
      <x:c r="AE198" s="39"/>
      <x:c r="AF198" s="39"/>
      <x:c r="AG198" s="39"/>
    </x:row>
    <x:row r="199">
      <x:c r="A199" s="197"/>
      <x:c r="B199" s="197"/>
      <x:c r="C199" s="197"/>
      <x:c r="D199" s="197"/>
      <x:c r="E199" s="197"/>
      <x:c r="F199" s="197"/>
      <x:c r="G199" s="198" t="n">
        <x:f>IF(E199="Mensile",F199,IF(E199="Annuale",F199/12,IF(E199="Lifetime",0,IF(E199="Variabile",F199,0))))</x:f>
        <x:v>0</x:v>
      </x:c>
      <x:c r="H199" s="197"/>
      <x:c r="I199" s="197"/>
      <x:c r="J199" s="197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  <x:c r="AA199" s="39"/>
      <x:c r="AB199" s="39"/>
      <x:c r="AC199" s="39"/>
      <x:c r="AD199" s="39"/>
      <x:c r="AE199" s="39"/>
      <x:c r="AF199" s="39"/>
      <x:c r="AG199" s="39"/>
    </x:row>
    <x:row r="200">
      <x:c r="A200" s="197"/>
      <x:c r="B200" s="197"/>
      <x:c r="C200" s="197"/>
      <x:c r="D200" s="197"/>
      <x:c r="E200" s="197"/>
      <x:c r="F200" s="197"/>
      <x:c r="G200" s="198" t="n">
        <x:f>IF(E200="Mensile",F200,IF(E200="Annuale",F200/12,IF(E200="Lifetime",0,IF(E200="Variabile",F200,0))))</x:f>
        <x:v>0</x:v>
      </x:c>
      <x:c r="H200" s="197"/>
      <x:c r="I200" s="197"/>
      <x:c r="J200" s="197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  <x:c r="AA200" s="39"/>
      <x:c r="AB200" s="39"/>
      <x:c r="AC200" s="39"/>
      <x:c r="AD200" s="39"/>
      <x:c r="AE200" s="39"/>
      <x:c r="AF200" s="39"/>
      <x:c r="AG200" s="39"/>
    </x:row>
  </x:sheetData>
  <x:mergeCells>
    <x:mergeCell ref="A1:J1"/>
  </x:mergeCells>
  <x:dataValidations count="3">
    <x:dataValidation type="list" sqref="E1">
      <x:formula1>Liste!$K$4:$K$10</x:formula1>
    </x:dataValidation>
    <x:dataValidation type="list" sqref="H1">
      <x:formula1>Liste!$J$4:$J$6</x:formula1>
    </x:dataValidation>
    <x:dataValidation type="list" sqref="I1">
      <x:formula1>"Sì,No"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afcb7163354ea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2" hidden="0" customWidth="1"/>
    <x:col min="4" max="4" width="34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14" hidden="0" customWidth="1"/>
    <x:col min="15" max="15" width="14" hidden="0" customWidth="1"/>
    <x:col min="16" max="16" width="16" hidden="0" customWidth="1"/>
    <x:col min="17" max="17" width="12" hidden="0" customWidth="1"/>
    <x:col min="18" max="18" width="12" hidden="0" customWidth="1"/>
    <x:col min="19" max="19" width="12" hidden="0" customWidth="1"/>
    <x:col min="20" max="20" width="14" hidden="0" customWidth="1"/>
    <x:col min="21" max="21" width="14" hidden="0" customWidth="1"/>
    <x:col min="22" max="22" width="18" hidden="0" customWidth="1"/>
    <x:col min="23" max="23" width="14" hidden="0" customWidth="1"/>
    <x:col min="24" max="24" width="12" hidden="0" customWidth="1"/>
    <x:col min="25" max="25" width="26" hidden="0" customWidth="1"/>
    <x:col min="26" max="26" width="17.360000610351562" hidden="0" customWidth="1"/>
    <x:col min="27" max="27" width="17.5" hidden="0" customWidth="1"/>
    <x:col min="28" max="28" width="11.3100004196167" hidden="0" customWidth="1"/>
    <x:col min="29" max="29" width="14.130000114440918" hidden="0" customWidth="1"/>
    <x:col min="30" max="30" width="12.109999656677246" hidden="0" customWidth="1"/>
    <x:col min="31" max="31" width="20.729999542236328" hidden="0" customWidth="1"/>
    <x:col min="32" max="32" width="12.25" hidden="0" customWidth="1"/>
    <x:col min="33" max="33" width="20.860000610351562" hidden="0" customWidth="1"/>
  </x:cols>
  <x:sheetData>
    <x:row r="1" ht="28" customHeight="1">
      <x:c r="A1" s="158" t="str">
        <x:v>Margini Clienti — canoni, costi, split, tasse, prezzo minimo</x:v>
      </x:c>
      <x:c r="B1" s="159"/>
      <x:c r="C1" s="159"/>
      <x:c r="D1" s="159"/>
      <x:c r="E1" s="159"/>
      <x:c r="F1" s="162"/>
      <x:c r="G1" s="162"/>
      <x:c r="H1" s="162"/>
      <x:c r="I1" s="162"/>
      <x:c r="J1" s="162"/>
      <x:c r="K1" s="162"/>
      <x:c r="L1" s="162"/>
      <x:c r="M1" s="162"/>
      <x:c r="N1" s="162"/>
      <x:c r="O1" s="162"/>
      <x:c r="P1" s="162"/>
      <x:c r="Q1" s="163"/>
      <x:c r="R1" s="163"/>
      <x:c r="S1" s="163"/>
      <x:c r="T1" s="163"/>
      <x:c r="U1" s="164"/>
      <x:c r="V1" s="162"/>
      <x:c r="W1" s="162"/>
      <x:c r="X1" s="165"/>
      <x:c r="Y1" s="162"/>
      <x:c r="Z1" s="162"/>
      <x:c r="AA1" s="48"/>
      <x:c r="AB1" s="48"/>
      <x:c r="AC1" s="48"/>
      <x:c r="AD1" s="48"/>
      <x:c r="AE1" s="48"/>
      <x:c r="AF1" s="48"/>
      <x:c r="AG1" s="48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</x:row>
    <x:row r="3" ht="28" customHeight="1">
      <x:c r="A3" s="202" t="str">
        <x:v>Cliente/Progetto</x:v>
      </x:c>
      <x:c r="B3" s="202" t="str">
        <x:v>Stato cliente</x:v>
      </x:c>
      <x:c r="C3" s="202" t="str">
        <x:v>Tipo cliente</x:v>
      </x:c>
      <x:c r="D3" s="202" t="str">
        <x:v>Motivo strategico</x:v>
      </x:c>
      <x:c r="E3" s="202" t="str">
        <x:v>Servizio attivo</x:v>
      </x:c>
      <x:c r="F3" s="202" t="str">
        <x:v>Canone mensile</x:v>
      </x:c>
      <x:c r="G3" s="202" t="str">
        <x:v>Budget ads separato</x:v>
      </x:c>
      <x:c r="H3" s="202" t="str">
        <x:v>Extra mensili</x:v>
      </x:c>
      <x:c r="I3" s="202" t="str">
        <x:v>Extra una tantum</x:v>
      </x:c>
      <x:c r="J3" s="202" t="str">
        <x:v>Variabile stimata</x:v>
      </x:c>
      <x:c r="K3" s="202" t="str">
        <x:v>Ricavi per margine</x:v>
      </x:c>
      <x:c r="L3" s="202" t="str">
        <x:v>Costi tool/diretti</x:v>
      </x:c>
      <x:c r="M3" s="202" t="str">
        <x:v>Costo Jessica fisso</x:v>
      </x:c>
      <x:c r="N3" s="202" t="str">
        <x:v>Extra Jessica</x:v>
      </x:c>
      <x:c r="O3" s="202" t="str">
        <x:v>Altri costi diretti</x:v>
      </x:c>
      <x:c r="P3" s="202" t="str">
        <x:v>Costi diretti totali</x:v>
      </x:c>
      <x:c r="Q3" s="202" t="str">
        <x:v>Ore Fabio</x:v>
      </x:c>
      <x:c r="R3" s="202" t="str">
        <x:v>Ore Frego</x:v>
      </x:c>
      <x:c r="S3" s="202" t="str">
        <x:v>Ore Jessica</x:v>
      </x:c>
      <x:c r="T3" s="202" t="str">
        <x:v>Costo ore teorico</x:v>
      </x:c>
      <x:c r="U3" s="202" t="str">
        <x:v>Margine target</x:v>
      </x:c>
      <x:c r="V3" s="202" t="str">
        <x:v>Prezzo minimo consigliato</x:v>
      </x:c>
      <x:c r="W3" s="202" t="str">
        <x:v>Margine cliente</x:v>
      </x:c>
      <x:c r="X3" s="202" t="str">
        <x:v>Margine %</x:v>
      </x:c>
      <x:c r="Y3" s="202" t="str">
        <x:v>Alert</x:v>
      </x:c>
      <x:c r="Z3" s="202" t="str">
        <x:v>Quota Fabio lorda</x:v>
      </x:c>
      <x:c r="AA3" s="202" t="str">
        <x:v>Quota Frego lorda</x:v>
      </x:c>
      <x:c r="AB3" s="202" t="str">
        <x:v>INPS Fabio</x:v>
      </x:c>
      <x:c r="AC3" s="202" t="str">
        <x:v>Imposta Fabio</x:v>
      </x:c>
      <x:c r="AD3" s="202" t="str">
        <x:v>Netto Fabio</x:v>
      </x:c>
      <x:c r="AE3" s="202" t="str">
        <x:v>Valore ora netto Fabio</x:v>
      </x:c>
      <x:c r="AF3" s="202" t="str">
        <x:v>Netto Frego</x:v>
      </x:c>
      <x:c r="AG3" s="202" t="str">
        <x:v>Valore ora netto Frego</x:v>
      </x:c>
    </x:row>
    <x:row r="4">
      <x:c r="A4" s="197" t="str">
        <x:v>Startupdata</x:v>
      </x:c>
      <x:c r="B4" s="197" t="str">
        <x:v>Attivo</x:v>
      </x:c>
      <x:c r="C4" s="197" t="str">
        <x:v>Strategico / caso studio</x:v>
      </x:c>
      <x:c r="D4" s="197" t="str">
        <x:v>Validazione servizio + caso studio</x:v>
      </x:c>
      <x:c r="E4" s="197" t="str">
        <x:v>Full Stack Acquisition System</x:v>
      </x:c>
      <x:c r="F4" s="197" t="n">
        <x:v>1500</x:v>
      </x:c>
      <x:c r="G4" s="197" t="n">
        <x:v>500</x:v>
      </x:c>
      <x:c r="H4" s="197" t="n">
        <x:v>0</x:v>
      </x:c>
      <x:c r="I4" s="197" t="n">
        <x:v>0</x:v>
      </x:c>
      <x:c r="J4" s="197" t="n">
        <x:v>0</x:v>
      </x:c>
      <x:c r="K4" s="198" t="n">
        <x:f>F4+H4+I4+J4</x:f>
        <x:v>1500</x:v>
      </x:c>
      <x:c r="L4" s="198" t="n">
        <x:f>SUMIFS('Costi &amp; Tool'!$G:$G,'Costi &amp; Tool'!$C:$C,A4,'Costi &amp; Tool'!$H:$H,"Sì")</x:f>
        <x:v>45</x:v>
      </x:c>
      <x:c r="M4" s="197" t="n">
        <x:v>200</x:v>
      </x:c>
      <x:c r="N4" s="197" t="n">
        <x:v>0</x:v>
      </x:c>
      <x:c r="O4" s="197" t="n">
        <x:v>0</x:v>
      </x:c>
      <x:c r="P4" s="198" t="n">
        <x:f>L4+M4+N4+O4</x:f>
        <x:v>245</x:v>
      </x:c>
      <x:c r="Q4" s="198" t="n">
        <x:f>SUMIFS('Attività &amp; Tempi'!$N:$N,'Attività &amp; Tempi'!$A:$A,A4,'Attività &amp; Tempi'!$E:$E,"Fabio")</x:f>
        <x:v>55</x:v>
      </x:c>
      <x:c r="R4" s="198" t="n">
        <x:f>SUMIFS('Attività &amp; Tempi'!$N:$N,'Attività &amp; Tempi'!$A:$A,A4,'Attività &amp; Tempi'!$E:$E,"Frego")</x:f>
        <x:v>3</x:v>
      </x:c>
      <x:c r="S4" s="198" t="n">
        <x:f>SUMIFS('Attività &amp; Tempi'!$N:$N,'Attività &amp; Tempi'!$A:$A,A4,'Attività &amp; Tempi'!$E:$E,"Jessica")</x:f>
        <x:v>26</x:v>
      </x:c>
      <x:c r="T4" s="198" t="n">
        <x:f>Q4*Impostazioni!$B$4+R4*Impostazioni!$B$5+S4*Impostazioni!$B$6</x:f>
        <x:v>2320</x:v>
      </x:c>
      <x:c r="U4" s="197" t="n">
        <x:v>0.4</x:v>
      </x:c>
      <x:c r="V4" s="198" t="n">
        <x:f>IF(1-U4=0,"",ROUND((P4+T4)/(1-U4),0))</x:f>
        <x:v>4275</x:v>
      </x:c>
      <x:c r="W4" s="198" t="n">
        <x:f>K4-P4</x:f>
        <x:v>1255</x:v>
      </x:c>
      <x:c r="X4" s="198" t="n">
        <x:f>IF(K4=0,0,W4/K4)</x:f>
        <x:v>0.8366666666666667</x:v>
      </x:c>
      <x:c r="Y4" s="198" t="str">
        <x:f>IF(K4&lt;V4,IF(OR(C4="Strategico / caso studio",C4="Partnership"),"Strategico ma sottoprezzato","Cliente sottoprezzato"),IF(X4&lt;0.3,"Cliente da rinegoziare",IF((Q4+R4+S4)&gt;80,"Cliente troppo pesante","Cliente sano")))</x:f>
        <x:v>Strategico ma sottoprezzato</x:v>
      </x:c>
      <x:c r="Z4" s="198" t="n">
        <x:f>MAX(W4,0)/2</x:f>
        <x:v>627.5</x:v>
      </x:c>
      <x:c r="AA4" s="198" t="n">
        <x:f>MAX(W4,0)/2</x:f>
        <x:v>627.5</x:v>
      </x:c>
      <x:c r="AB4" s="198" t="n">
        <x:f>Z4*Impostazioni!$B$7*Impostazioni!$B$8</x:f>
        <x:v>127.59961499999999</x:v>
      </x:c>
      <x:c r="AC4" s="198" t="n">
        <x:f>MAX(Z4*Impostazioni!$B$7-AB4,0)*Impostazioni!$B$9</x:f>
        <x:v>18.092519250000002</x:v>
      </x:c>
      <x:c r="AD4" s="198" t="n">
        <x:f>Z4-AB4-AC4</x:f>
        <x:v>481.80786575</x:v>
      </x:c>
      <x:c r="AE4" s="198" t="n">
        <x:f>IF(Q4=0,0,AD4/Q4)</x:f>
        <x:v>8.760143013636364</x:v>
      </x:c>
      <x:c r="AF4" s="198" t="n">
        <x:f>AA4-(AA4*Impostazioni!$B$7*Impostazioni!$B$8)-MAX(AA4*Impostazioni!$B$7-(AA4*Impostazioni!$B$7*Impostazioni!$B$8),0)*Impostazioni!$B$9</x:f>
        <x:v>481.80786575</x:v>
      </x:c>
      <x:c r="AG4" s="198" t="n">
        <x:f>IF(R4=0,0,AF4/R4)</x:f>
        <x:v>160.60262191666666</x:v>
      </x:c>
    </x:row>
    <x:row r="5">
      <x:c r="A5" s="197" t="str">
        <x:v>Mirko / Evolution</x:v>
      </x:c>
      <x:c r="B5" s="197" t="str">
        <x:v>Attivo</x:v>
      </x:c>
      <x:c r="C5" s="197" t="str">
        <x:v>Strategico / caso studio</x:v>
      </x:c>
      <x:c r="D5" s="197" t="str">
        <x:v>Validazione multicanale + relazione importante</x:v>
      </x:c>
      <x:c r="E5" s="197" t="str">
        <x:v>Outreach multicanale LK + Email + WA</x:v>
      </x:c>
      <x:c r="F5" s="197" t="n">
        <x:v>700</x:v>
      </x:c>
      <x:c r="G5" s="197" t="n">
        <x:v>0</x:v>
      </x:c>
      <x:c r="H5" s="197" t="n">
        <x:v>0</x:v>
      </x:c>
      <x:c r="I5" s="197" t="n">
        <x:v>0</x:v>
      </x:c>
      <x:c r="J5" s="197" t="n">
        <x:v>0</x:v>
      </x:c>
      <x:c r="K5" s="198" t="n">
        <x:f>F5+H5+I5+J5</x:f>
        <x:v>700</x:v>
      </x:c>
      <x:c r="L5" s="198" t="n">
        <x:f>SUMIFS('Costi &amp; Tool'!$G:$G,'Costi &amp; Tool'!$C:$C,A5,'Costi &amp; Tool'!$H:$H,"Sì")</x:f>
        <x:v>10.42</x:v>
      </x:c>
      <x:c r="M5" s="197" t="n">
        <x:v>0</x:v>
      </x:c>
      <x:c r="N5" s="197" t="n">
        <x:v>0</x:v>
      </x:c>
      <x:c r="O5" s="197" t="n">
        <x:v>0</x:v>
      </x:c>
      <x:c r="P5" s="198" t="n">
        <x:f>L5+M5+N5+O5</x:f>
        <x:v>10.42</x:v>
      </x:c>
      <x:c r="Q5" s="198" t="n">
        <x:f>SUMIFS('Attività &amp; Tempi'!$N:$N,'Attività &amp; Tempi'!$A:$A,A5,'Attività &amp; Tempi'!$E:$E,"Fabio")</x:f>
        <x:v>57.16666666666667</x:v>
      </x:c>
      <x:c r="R5" s="198" t="n">
        <x:f>SUMIFS('Attività &amp; Tempi'!$N:$N,'Attività &amp; Tempi'!$A:$A,A5,'Attività &amp; Tempi'!$E:$E,"Frego")</x:f>
        <x:v>11</x:v>
      </x:c>
      <x:c r="S5" s="198" t="n">
        <x:f>SUMIFS('Attività &amp; Tempi'!$N:$N,'Attività &amp; Tempi'!$A:$A,A5,'Attività &amp; Tempi'!$E:$E,"Jessica")</x:f>
        <x:v>0</x:v>
      </x:c>
      <x:c r="T5" s="198" t="n">
        <x:f>Q5*Impostazioni!$B$4+R5*Impostazioni!$B$5+S5*Impostazioni!$B$6</x:f>
        <x:v>2726.666666666667</x:v>
      </x:c>
      <x:c r="U5" s="197" t="n">
        <x:v>0.4</x:v>
      </x:c>
      <x:c r="V5" s="198" t="n">
        <x:f>IF(1-U5=0,"",ROUND((P5+T5)/(1-U5),0))</x:f>
        <x:v>4562</x:v>
      </x:c>
      <x:c r="W5" s="198" t="n">
        <x:f>K5-P5</x:f>
        <x:v>689.58</x:v>
      </x:c>
      <x:c r="X5" s="198" t="n">
        <x:f>IF(K5=0,0,W5/K5)</x:f>
        <x:v>0.9851142857142857</x:v>
      </x:c>
      <x:c r="Y5" s="198" t="str">
        <x:f>IF(K5&lt;V5,IF(OR(C5="Strategico / caso studio",C5="Partnership"),"Strategico ma sottoprezzato","Cliente sottoprezzato"),IF(X5&lt;0.3,"Cliente da rinegoziare",IF((Q5+R5+S5)&gt;80,"Cliente troppo pesante","Cliente sano")))</x:f>
        <x:v>Strategico ma sottoprezzato</x:v>
      </x:c>
      <x:c r="Z5" s="198" t="n">
        <x:f>MAX(W5,0)/2</x:f>
        <x:v>344.79</x:v>
      </x:c>
      <x:c r="AA5" s="198" t="n">
        <x:f>MAX(W5,0)/2</x:f>
        <x:v>344.79</x:v>
      </x:c>
      <x:c r="AB5" s="198" t="n">
        <x:f>Z5*Impostazioni!$B$7*Impostazioni!$B$8</x:f>
        <x:v>70.11166734000001</x:v>
      </x:c>
      <x:c r="AC5" s="198" t="n">
        <x:f>MAX(Z5*Impostazioni!$B$7-AB5,0)*Impostazioni!$B$9</x:f>
        <x:v>9.941226633000003</x:v>
      </x:c>
      <x:c r="AD5" s="198" t="n">
        <x:f>Z5-AB5-AC5</x:f>
        <x:v>264.73710602700004</x:v>
      </x:c>
      <x:c r="AE5" s="198" t="n">
        <x:f>IF(Q5=0,0,AD5/Q5)</x:f>
        <x:v>4.630969784728864</x:v>
      </x:c>
      <x:c r="AF5" s="198" t="n">
        <x:f>AA5-(AA5*Impostazioni!$B$7*Impostazioni!$B$8)-MAX(AA5*Impostazioni!$B$7-(AA5*Impostazioni!$B$7*Impostazioni!$B$8),0)*Impostazioni!$B$9</x:f>
        <x:v>264.73710602700004</x:v>
      </x:c>
      <x:c r="AG5" s="198" t="n">
        <x:f>IF(R5=0,0,AF5/R5)</x:f>
        <x:v>24.067009638818185</x:v>
      </x:c>
    </x:row>
    <x:row r="6">
      <x:c r="A6" s="197"/>
      <x:c r="B6" s="197"/>
      <x:c r="C6" s="197"/>
      <x:c r="D6" s="197"/>
      <x:c r="E6" s="197"/>
      <x:c r="F6" s="197"/>
      <x:c r="G6" s="197"/>
      <x:c r="H6" s="197"/>
      <x:c r="I6" s="197"/>
      <x:c r="J6" s="197"/>
      <x:c r="K6" s="198" t="n">
        <x:f>F6+H6+I6+J6</x:f>
        <x:v>0</x:v>
      </x:c>
      <x:c r="L6" s="198" t="n">
        <x:f>SUMIFS('Costi &amp; Tool'!$G:$G,'Costi &amp; Tool'!$C:$C,A6,'Costi &amp; Tool'!$H:$H,"Sì")</x:f>
        <x:v>0</x:v>
      </x:c>
      <x:c r="M6" s="197"/>
      <x:c r="N6" s="197"/>
      <x:c r="O6" s="197"/>
      <x:c r="P6" s="198" t="n">
        <x:f>L6+M6+N6+O6</x:f>
        <x:v>0</x:v>
      </x:c>
      <x:c r="Q6" s="198" t="n">
        <x:f>SUMIFS('Attività &amp; Tempi'!$N:$N,'Attività &amp; Tempi'!$A:$A,A6,'Attività &amp; Tempi'!$E:$E,"Fabio")</x:f>
        <x:v>0</x:v>
      </x:c>
      <x:c r="R6" s="198" t="n">
        <x:f>SUMIFS('Attività &amp; Tempi'!$N:$N,'Attività &amp; Tempi'!$A:$A,A6,'Attività &amp; Tempi'!$E:$E,"Frego")</x:f>
        <x:v>0</x:v>
      </x:c>
      <x:c r="S6" s="198" t="n">
        <x:f>SUMIFS('Attività &amp; Tempi'!$N:$N,'Attività &amp; Tempi'!$A:$A,A6,'Attività &amp; Tempi'!$E:$E,"Jessica")</x:f>
        <x:v>0</x:v>
      </x:c>
      <x:c r="T6" s="198" t="n">
        <x:f>Q6*Impostazioni!$B$4+R6*Impostazioni!$B$5+S6*Impostazioni!$B$6</x:f>
        <x:v>0</x:v>
      </x:c>
      <x:c r="U6" s="197"/>
      <x:c r="V6" s="198" t="n">
        <x:f>IF(1-U6=0,"",ROUND((P6+T6)/(1-U6),0))</x:f>
        <x:v>0</x:v>
      </x:c>
      <x:c r="W6" s="198" t="n">
        <x:f>K6-P6</x:f>
        <x:v>0</x:v>
      </x:c>
      <x:c r="X6" s="198" t="n">
        <x:f>IF(K6=0,0,W6/K6)</x:f>
        <x:v>0</x:v>
      </x:c>
      <x:c r="Y6" s="198" t="str">
        <x:f>IF(K6&lt;V6,IF(OR(C6="Strategico / caso studio",C6="Partnership"),"Strategico ma sottoprezzato","Cliente sottoprezzato"),IF(X6&lt;0.3,"Cliente da rinegoziare",IF((Q6+R6+S6)&gt;80,"Cliente troppo pesante","Cliente sano")))</x:f>
        <x:v>Cliente da rinegoziare</x:v>
      </x:c>
      <x:c r="Z6" s="198" t="n">
        <x:f>MAX(W6,0)/2</x:f>
        <x:v>0</x:v>
      </x:c>
      <x:c r="AA6" s="198" t="n">
        <x:f>MAX(W6,0)/2</x:f>
        <x:v>0</x:v>
      </x:c>
      <x:c r="AB6" s="198" t="n">
        <x:f>Z6*Impostazioni!$B$7*Impostazioni!$B$8</x:f>
        <x:v>0</x:v>
      </x:c>
      <x:c r="AC6" s="198" t="n">
        <x:f>MAX(Z6*Impostazioni!$B$7-AB6,0)*Impostazioni!$B$9</x:f>
        <x:v>0</x:v>
      </x:c>
      <x:c r="AD6" s="198" t="n">
        <x:f>Z6-AB6-AC6</x:f>
        <x:v>0</x:v>
      </x:c>
      <x:c r="AE6" s="198" t="n">
        <x:f>IF(Q6=0,0,AD6/Q6)</x:f>
        <x:v>0</x:v>
      </x:c>
      <x:c r="AF6" s="198" t="n">
        <x:f>AA6-(AA6*Impostazioni!$B$7*Impostazioni!$B$8)-MAX(AA6*Impostazioni!$B$7-(AA6*Impostazioni!$B$7*Impostazioni!$B$8),0)*Impostazioni!$B$9</x:f>
        <x:v>0</x:v>
      </x:c>
      <x:c r="AG6" s="198" t="n">
        <x:f>IF(R6=0,0,AF6/R6)</x:f>
        <x:v>0</x:v>
      </x:c>
    </x:row>
    <x:row r="7">
      <x:c r="A7" s="197"/>
      <x:c r="B7" s="197"/>
      <x:c r="C7" s="197"/>
      <x:c r="D7" s="197"/>
      <x:c r="E7" s="197"/>
      <x:c r="F7" s="197"/>
      <x:c r="G7" s="197"/>
      <x:c r="H7" s="197"/>
      <x:c r="I7" s="197"/>
      <x:c r="J7" s="197"/>
      <x:c r="K7" s="198" t="n">
        <x:f>F7+H7+I7+J7</x:f>
        <x:v>0</x:v>
      </x:c>
      <x:c r="L7" s="198" t="n">
        <x:f>SUMIFS('Costi &amp; Tool'!$G:$G,'Costi &amp; Tool'!$C:$C,A7,'Costi &amp; Tool'!$H:$H,"Sì")</x:f>
        <x:v>0</x:v>
      </x:c>
      <x:c r="M7" s="197"/>
      <x:c r="N7" s="197"/>
      <x:c r="O7" s="197"/>
      <x:c r="P7" s="198" t="n">
        <x:f>L7+M7+N7+O7</x:f>
        <x:v>0</x:v>
      </x:c>
      <x:c r="Q7" s="198" t="n">
        <x:f>SUMIFS('Attività &amp; Tempi'!$N:$N,'Attività &amp; Tempi'!$A:$A,A7,'Attività &amp; Tempi'!$E:$E,"Fabio")</x:f>
        <x:v>0</x:v>
      </x:c>
      <x:c r="R7" s="198" t="n">
        <x:f>SUMIFS('Attività &amp; Tempi'!$N:$N,'Attività &amp; Tempi'!$A:$A,A7,'Attività &amp; Tempi'!$E:$E,"Frego")</x:f>
        <x:v>0</x:v>
      </x:c>
      <x:c r="S7" s="198" t="n">
        <x:f>SUMIFS('Attività &amp; Tempi'!$N:$N,'Attività &amp; Tempi'!$A:$A,A7,'Attività &amp; Tempi'!$E:$E,"Jessica")</x:f>
        <x:v>0</x:v>
      </x:c>
      <x:c r="T7" s="198" t="n">
        <x:f>Q7*Impostazioni!$B$4+R7*Impostazioni!$B$5+S7*Impostazioni!$B$6</x:f>
        <x:v>0</x:v>
      </x:c>
      <x:c r="U7" s="197"/>
      <x:c r="V7" s="198" t="n">
        <x:f>IF(1-U7=0,"",ROUND((P7+T7)/(1-U7),0))</x:f>
        <x:v>0</x:v>
      </x:c>
      <x:c r="W7" s="198" t="n">
        <x:f>K7-P7</x:f>
        <x:v>0</x:v>
      </x:c>
      <x:c r="X7" s="198" t="n">
        <x:f>IF(K7=0,0,W7/K7)</x:f>
        <x:v>0</x:v>
      </x:c>
      <x:c r="Y7" s="198" t="str">
        <x:f>IF(K7&lt;V7,IF(OR(C7="Strategico / caso studio",C7="Partnership"),"Strategico ma sottoprezzato","Cliente sottoprezzato"),IF(X7&lt;0.3,"Cliente da rinegoziare",IF((Q7+R7+S7)&gt;80,"Cliente troppo pesante","Cliente sano")))</x:f>
        <x:v>Cliente da rinegoziare</x:v>
      </x:c>
      <x:c r="Z7" s="198" t="n">
        <x:f>MAX(W7,0)/2</x:f>
        <x:v>0</x:v>
      </x:c>
      <x:c r="AA7" s="198" t="n">
        <x:f>MAX(W7,0)/2</x:f>
        <x:v>0</x:v>
      </x:c>
      <x:c r="AB7" s="198" t="n">
        <x:f>Z7*Impostazioni!$B$7*Impostazioni!$B$8</x:f>
        <x:v>0</x:v>
      </x:c>
      <x:c r="AC7" s="198" t="n">
        <x:f>MAX(Z7*Impostazioni!$B$7-AB7,0)*Impostazioni!$B$9</x:f>
        <x:v>0</x:v>
      </x:c>
      <x:c r="AD7" s="198" t="n">
        <x:f>Z7-AB7-AC7</x:f>
        <x:v>0</x:v>
      </x:c>
      <x:c r="AE7" s="198" t="n">
        <x:f>IF(Q7=0,0,AD7/Q7)</x:f>
        <x:v>0</x:v>
      </x:c>
      <x:c r="AF7" s="198" t="n">
        <x:f>AA7-(AA7*Impostazioni!$B$7*Impostazioni!$B$8)-MAX(AA7*Impostazioni!$B$7-(AA7*Impostazioni!$B$7*Impostazioni!$B$8),0)*Impostazioni!$B$9</x:f>
        <x:v>0</x:v>
      </x:c>
      <x:c r="AG7" s="198" t="n">
        <x:f>IF(R7=0,0,AF7/R7)</x:f>
        <x:v>0</x:v>
      </x:c>
    </x:row>
    <x:row r="8">
      <x:c r="A8" s="197"/>
      <x:c r="B8" s="197"/>
      <x:c r="C8" s="197"/>
      <x:c r="D8" s="197"/>
      <x:c r="E8" s="197"/>
      <x:c r="F8" s="197"/>
      <x:c r="G8" s="197"/>
      <x:c r="H8" s="197"/>
      <x:c r="I8" s="197"/>
      <x:c r="J8" s="197"/>
      <x:c r="K8" s="198" t="n">
        <x:f>F8+H8+I8+J8</x:f>
        <x:v>0</x:v>
      </x:c>
      <x:c r="L8" s="198" t="n">
        <x:f>SUMIFS('Costi &amp; Tool'!$G:$G,'Costi &amp; Tool'!$C:$C,A8,'Costi &amp; Tool'!$H:$H,"Sì")</x:f>
        <x:v>0</x:v>
      </x:c>
      <x:c r="M8" s="197"/>
      <x:c r="N8" s="197"/>
      <x:c r="O8" s="197"/>
      <x:c r="P8" s="198" t="n">
        <x:f>L8+M8+N8+O8</x:f>
        <x:v>0</x:v>
      </x:c>
      <x:c r="Q8" s="198" t="n">
        <x:f>SUMIFS('Attività &amp; Tempi'!$N:$N,'Attività &amp; Tempi'!$A:$A,A8,'Attività &amp; Tempi'!$E:$E,"Fabio")</x:f>
        <x:v>0</x:v>
      </x:c>
      <x:c r="R8" s="198" t="n">
        <x:f>SUMIFS('Attività &amp; Tempi'!$N:$N,'Attività &amp; Tempi'!$A:$A,A8,'Attività &amp; Tempi'!$E:$E,"Frego")</x:f>
        <x:v>0</x:v>
      </x:c>
      <x:c r="S8" s="198" t="n">
        <x:f>SUMIFS('Attività &amp; Tempi'!$N:$N,'Attività &amp; Tempi'!$A:$A,A8,'Attività &amp; Tempi'!$E:$E,"Jessica")</x:f>
        <x:v>0</x:v>
      </x:c>
      <x:c r="T8" s="198" t="n">
        <x:f>Q8*Impostazioni!$B$4+R8*Impostazioni!$B$5+S8*Impostazioni!$B$6</x:f>
        <x:v>0</x:v>
      </x:c>
      <x:c r="U8" s="197"/>
      <x:c r="V8" s="198" t="n">
        <x:f>IF(1-U8=0,"",ROUND((P8+T8)/(1-U8),0))</x:f>
        <x:v>0</x:v>
      </x:c>
      <x:c r="W8" s="198" t="n">
        <x:f>K8-P8</x:f>
        <x:v>0</x:v>
      </x:c>
      <x:c r="X8" s="198" t="n">
        <x:f>IF(K8=0,0,W8/K8)</x:f>
        <x:v>0</x:v>
      </x:c>
      <x:c r="Y8" s="198" t="str">
        <x:f>IF(K8&lt;V8,IF(OR(C8="Strategico / caso studio",C8="Partnership"),"Strategico ma sottoprezzato","Cliente sottoprezzato"),IF(X8&lt;0.3,"Cliente da rinegoziare",IF((Q8+R8+S8)&gt;80,"Cliente troppo pesante","Cliente sano")))</x:f>
        <x:v>Cliente da rinegoziare</x:v>
      </x:c>
      <x:c r="Z8" s="198" t="n">
        <x:f>MAX(W8,0)/2</x:f>
        <x:v>0</x:v>
      </x:c>
      <x:c r="AA8" s="198" t="n">
        <x:f>MAX(W8,0)/2</x:f>
        <x:v>0</x:v>
      </x:c>
      <x:c r="AB8" s="198" t="n">
        <x:f>Z8*Impostazioni!$B$7*Impostazioni!$B$8</x:f>
        <x:v>0</x:v>
      </x:c>
      <x:c r="AC8" s="198" t="n">
        <x:f>MAX(Z8*Impostazioni!$B$7-AB8,0)*Impostazioni!$B$9</x:f>
        <x:v>0</x:v>
      </x:c>
      <x:c r="AD8" s="198" t="n">
        <x:f>Z8-AB8-AC8</x:f>
        <x:v>0</x:v>
      </x:c>
      <x:c r="AE8" s="198" t="n">
        <x:f>IF(Q8=0,0,AD8/Q8)</x:f>
        <x:v>0</x:v>
      </x:c>
      <x:c r="AF8" s="198" t="n">
        <x:f>AA8-(AA8*Impostazioni!$B$7*Impostazioni!$B$8)-MAX(AA8*Impostazioni!$B$7-(AA8*Impostazioni!$B$7*Impostazioni!$B$8),0)*Impostazioni!$B$9</x:f>
        <x:v>0</x:v>
      </x:c>
      <x:c r="AG8" s="198" t="n">
        <x:f>IF(R8=0,0,AF8/R8)</x:f>
        <x:v>0</x:v>
      </x:c>
    </x:row>
    <x:row r="9">
      <x:c r="A9" s="197"/>
      <x:c r="B9" s="197"/>
      <x:c r="C9" s="197"/>
      <x:c r="D9" s="197"/>
      <x:c r="E9" s="197"/>
      <x:c r="F9" s="197"/>
      <x:c r="G9" s="197"/>
      <x:c r="H9" s="197"/>
      <x:c r="I9" s="197"/>
      <x:c r="J9" s="197"/>
      <x:c r="K9" s="198" t="n">
        <x:f>F9+H9+I9+J9</x:f>
        <x:v>0</x:v>
      </x:c>
      <x:c r="L9" s="198" t="n">
        <x:f>SUMIFS('Costi &amp; Tool'!$G:$G,'Costi &amp; Tool'!$C:$C,A9,'Costi &amp; Tool'!$H:$H,"Sì")</x:f>
        <x:v>0</x:v>
      </x:c>
      <x:c r="M9" s="197"/>
      <x:c r="N9" s="197"/>
      <x:c r="O9" s="197"/>
      <x:c r="P9" s="198" t="n">
        <x:f>L9+M9+N9+O9</x:f>
        <x:v>0</x:v>
      </x:c>
      <x:c r="Q9" s="198" t="n">
        <x:f>SUMIFS('Attività &amp; Tempi'!$N:$N,'Attività &amp; Tempi'!$A:$A,A9,'Attività &amp; Tempi'!$E:$E,"Fabio")</x:f>
        <x:v>0</x:v>
      </x:c>
      <x:c r="R9" s="198" t="n">
        <x:f>SUMIFS('Attività &amp; Tempi'!$N:$N,'Attività &amp; Tempi'!$A:$A,A9,'Attività &amp; Tempi'!$E:$E,"Frego")</x:f>
        <x:v>0</x:v>
      </x:c>
      <x:c r="S9" s="198" t="n">
        <x:f>SUMIFS('Attività &amp; Tempi'!$N:$N,'Attività &amp; Tempi'!$A:$A,A9,'Attività &amp; Tempi'!$E:$E,"Jessica")</x:f>
        <x:v>0</x:v>
      </x:c>
      <x:c r="T9" s="198" t="n">
        <x:f>Q9*Impostazioni!$B$4+R9*Impostazioni!$B$5+S9*Impostazioni!$B$6</x:f>
        <x:v>0</x:v>
      </x:c>
      <x:c r="U9" s="197"/>
      <x:c r="V9" s="198" t="n">
        <x:f>IF(1-U9=0,"",ROUND((P9+T9)/(1-U9),0))</x:f>
        <x:v>0</x:v>
      </x:c>
      <x:c r="W9" s="198" t="n">
        <x:f>K9-P9</x:f>
        <x:v>0</x:v>
      </x:c>
      <x:c r="X9" s="198" t="n">
        <x:f>IF(K9=0,0,W9/K9)</x:f>
        <x:v>0</x:v>
      </x:c>
      <x:c r="Y9" s="198" t="str">
        <x:f>IF(K9&lt;V9,IF(OR(C9="Strategico / caso studio",C9="Partnership"),"Strategico ma sottoprezzato","Cliente sottoprezzato"),IF(X9&lt;0.3,"Cliente da rinegoziare",IF((Q9+R9+S9)&gt;80,"Cliente troppo pesante","Cliente sano")))</x:f>
        <x:v>Cliente da rinegoziare</x:v>
      </x:c>
      <x:c r="Z9" s="198" t="n">
        <x:f>MAX(W9,0)/2</x:f>
        <x:v>0</x:v>
      </x:c>
      <x:c r="AA9" s="198" t="n">
        <x:f>MAX(W9,0)/2</x:f>
        <x:v>0</x:v>
      </x:c>
      <x:c r="AB9" s="198" t="n">
        <x:f>Z9*Impostazioni!$B$7*Impostazioni!$B$8</x:f>
        <x:v>0</x:v>
      </x:c>
      <x:c r="AC9" s="198" t="n">
        <x:f>MAX(Z9*Impostazioni!$B$7-AB9,0)*Impostazioni!$B$9</x:f>
        <x:v>0</x:v>
      </x:c>
      <x:c r="AD9" s="198" t="n">
        <x:f>Z9-AB9-AC9</x:f>
        <x:v>0</x:v>
      </x:c>
      <x:c r="AE9" s="198" t="n">
        <x:f>IF(Q9=0,0,AD9/Q9)</x:f>
        <x:v>0</x:v>
      </x:c>
      <x:c r="AF9" s="198" t="n">
        <x:f>AA9-(AA9*Impostazioni!$B$7*Impostazioni!$B$8)-MAX(AA9*Impostazioni!$B$7-(AA9*Impostazioni!$B$7*Impostazioni!$B$8),0)*Impostazioni!$B$9</x:f>
        <x:v>0</x:v>
      </x:c>
      <x:c r="AG9" s="198" t="n">
        <x:f>IF(R9=0,0,AF9/R9)</x:f>
        <x:v>0</x:v>
      </x:c>
    </x:row>
    <x:row r="10">
      <x:c r="A10" s="197"/>
      <x:c r="B10" s="197"/>
      <x:c r="C10" s="197"/>
      <x:c r="D10" s="197"/>
      <x:c r="E10" s="197"/>
      <x:c r="F10" s="197"/>
      <x:c r="G10" s="197"/>
      <x:c r="H10" s="197"/>
      <x:c r="I10" s="197"/>
      <x:c r="J10" s="197"/>
      <x:c r="K10" s="198" t="n">
        <x:f>F10+H10+I10+J10</x:f>
        <x:v>0</x:v>
      </x:c>
      <x:c r="L10" s="198" t="n">
        <x:f>SUMIFS('Costi &amp; Tool'!$G:$G,'Costi &amp; Tool'!$C:$C,A10,'Costi &amp; Tool'!$H:$H,"Sì")</x:f>
        <x:v>0</x:v>
      </x:c>
      <x:c r="M10" s="197"/>
      <x:c r="N10" s="197"/>
      <x:c r="O10" s="197"/>
      <x:c r="P10" s="198" t="n">
        <x:f>L10+M10+N10+O10</x:f>
        <x:v>0</x:v>
      </x:c>
      <x:c r="Q10" s="198" t="n">
        <x:f>SUMIFS('Attività &amp; Tempi'!$N:$N,'Attività &amp; Tempi'!$A:$A,A10,'Attività &amp; Tempi'!$E:$E,"Fabio")</x:f>
        <x:v>0</x:v>
      </x:c>
      <x:c r="R10" s="198" t="n">
        <x:f>SUMIFS('Attività &amp; Tempi'!$N:$N,'Attività &amp; Tempi'!$A:$A,A10,'Attività &amp; Tempi'!$E:$E,"Frego")</x:f>
        <x:v>0</x:v>
      </x:c>
      <x:c r="S10" s="198" t="n">
        <x:f>SUMIFS('Attività &amp; Tempi'!$N:$N,'Attività &amp; Tempi'!$A:$A,A10,'Attività &amp; Tempi'!$E:$E,"Jessica")</x:f>
        <x:v>0</x:v>
      </x:c>
      <x:c r="T10" s="198" t="n">
        <x:f>Q10*Impostazioni!$B$4+R10*Impostazioni!$B$5+S10*Impostazioni!$B$6</x:f>
        <x:v>0</x:v>
      </x:c>
      <x:c r="U10" s="197"/>
      <x:c r="V10" s="198" t="n">
        <x:f>IF(1-U10=0,"",ROUND((P10+T10)/(1-U10),0))</x:f>
        <x:v>0</x:v>
      </x:c>
      <x:c r="W10" s="198" t="n">
        <x:f>K10-P10</x:f>
        <x:v>0</x:v>
      </x:c>
      <x:c r="X10" s="198" t="n">
        <x:f>IF(K10=0,0,W10/K10)</x:f>
        <x:v>0</x:v>
      </x:c>
      <x:c r="Y10" s="198" t="str">
        <x:f>IF(K10&lt;V10,IF(OR(C10="Strategico / caso studio",C10="Partnership"),"Strategico ma sottoprezzato","Cliente sottoprezzato"),IF(X10&lt;0.3,"Cliente da rinegoziare",IF((Q10+R10+S10)&gt;80,"Cliente troppo pesante","Cliente sano")))</x:f>
        <x:v>Cliente da rinegoziare</x:v>
      </x:c>
      <x:c r="Z10" s="198" t="n">
        <x:f>MAX(W10,0)/2</x:f>
        <x:v>0</x:v>
      </x:c>
      <x:c r="AA10" s="198" t="n">
        <x:f>MAX(W10,0)/2</x:f>
        <x:v>0</x:v>
      </x:c>
      <x:c r="AB10" s="198" t="n">
        <x:f>Z10*Impostazioni!$B$7*Impostazioni!$B$8</x:f>
        <x:v>0</x:v>
      </x:c>
      <x:c r="AC10" s="198" t="n">
        <x:f>MAX(Z10*Impostazioni!$B$7-AB10,0)*Impostazioni!$B$9</x:f>
        <x:v>0</x:v>
      </x:c>
      <x:c r="AD10" s="198" t="n">
        <x:f>Z10-AB10-AC10</x:f>
        <x:v>0</x:v>
      </x:c>
      <x:c r="AE10" s="198" t="n">
        <x:f>IF(Q10=0,0,AD10/Q10)</x:f>
        <x:v>0</x:v>
      </x:c>
      <x:c r="AF10" s="198" t="n">
        <x:f>AA10-(AA10*Impostazioni!$B$7*Impostazioni!$B$8)-MAX(AA10*Impostazioni!$B$7-(AA10*Impostazioni!$B$7*Impostazioni!$B$8),0)*Impostazioni!$B$9</x:f>
        <x:v>0</x:v>
      </x:c>
      <x:c r="AG10" s="198" t="n">
        <x:f>IF(R10=0,0,AF10/R10)</x:f>
        <x:v>0</x:v>
      </x:c>
    </x:row>
    <x:row r="11">
      <x:c r="A11" s="197"/>
      <x:c r="B11" s="197"/>
      <x:c r="C11" s="197"/>
      <x:c r="D11" s="197"/>
      <x:c r="E11" s="197"/>
      <x:c r="F11" s="197"/>
      <x:c r="G11" s="197"/>
      <x:c r="H11" s="197"/>
      <x:c r="I11" s="197"/>
      <x:c r="J11" s="197"/>
      <x:c r="K11" s="198" t="n">
        <x:f>F11+H11+I11+J11</x:f>
        <x:v>0</x:v>
      </x:c>
      <x:c r="L11" s="198" t="n">
        <x:f>SUMIFS('Costi &amp; Tool'!$G:$G,'Costi &amp; Tool'!$C:$C,A11,'Costi &amp; Tool'!$H:$H,"Sì")</x:f>
        <x:v>0</x:v>
      </x:c>
      <x:c r="M11" s="197"/>
      <x:c r="N11" s="197"/>
      <x:c r="O11" s="197"/>
      <x:c r="P11" s="198" t="n">
        <x:f>L11+M11+N11+O11</x:f>
        <x:v>0</x:v>
      </x:c>
      <x:c r="Q11" s="198" t="n">
        <x:f>SUMIFS('Attività &amp; Tempi'!$N:$N,'Attività &amp; Tempi'!$A:$A,A11,'Attività &amp; Tempi'!$E:$E,"Fabio")</x:f>
        <x:v>0</x:v>
      </x:c>
      <x:c r="R11" s="198" t="n">
        <x:f>SUMIFS('Attività &amp; Tempi'!$N:$N,'Attività &amp; Tempi'!$A:$A,A11,'Attività &amp; Tempi'!$E:$E,"Frego")</x:f>
        <x:v>0</x:v>
      </x:c>
      <x:c r="S11" s="198" t="n">
        <x:f>SUMIFS('Attività &amp; Tempi'!$N:$N,'Attività &amp; Tempi'!$A:$A,A11,'Attività &amp; Tempi'!$E:$E,"Jessica")</x:f>
        <x:v>0</x:v>
      </x:c>
      <x:c r="T11" s="198" t="n">
        <x:f>Q11*Impostazioni!$B$4+R11*Impostazioni!$B$5+S11*Impostazioni!$B$6</x:f>
        <x:v>0</x:v>
      </x:c>
      <x:c r="U11" s="197"/>
      <x:c r="V11" s="198" t="n">
        <x:f>IF(1-U11=0,"",ROUND((P11+T11)/(1-U11),0))</x:f>
        <x:v>0</x:v>
      </x:c>
      <x:c r="W11" s="198" t="n">
        <x:f>K11-P11</x:f>
        <x:v>0</x:v>
      </x:c>
      <x:c r="X11" s="198" t="n">
        <x:f>IF(K11=0,0,W11/K11)</x:f>
        <x:v>0</x:v>
      </x:c>
      <x:c r="Y11" s="198" t="str">
        <x:f>IF(K11&lt;V11,IF(OR(C11="Strategico / caso studio",C11="Partnership"),"Strategico ma sottoprezzato","Cliente sottoprezzato"),IF(X11&lt;0.3,"Cliente da rinegoziare",IF((Q11+R11+S11)&gt;80,"Cliente troppo pesante","Cliente sano")))</x:f>
        <x:v>Cliente da rinegoziare</x:v>
      </x:c>
      <x:c r="Z11" s="198" t="n">
        <x:f>MAX(W11,0)/2</x:f>
        <x:v>0</x:v>
      </x:c>
      <x:c r="AA11" s="198" t="n">
        <x:f>MAX(W11,0)/2</x:f>
        <x:v>0</x:v>
      </x:c>
      <x:c r="AB11" s="198" t="n">
        <x:f>Z11*Impostazioni!$B$7*Impostazioni!$B$8</x:f>
        <x:v>0</x:v>
      </x:c>
      <x:c r="AC11" s="198" t="n">
        <x:f>MAX(Z11*Impostazioni!$B$7-AB11,0)*Impostazioni!$B$9</x:f>
        <x:v>0</x:v>
      </x:c>
      <x:c r="AD11" s="198" t="n">
        <x:f>Z11-AB11-AC11</x:f>
        <x:v>0</x:v>
      </x:c>
      <x:c r="AE11" s="198" t="n">
        <x:f>IF(Q11=0,0,AD11/Q11)</x:f>
        <x:v>0</x:v>
      </x:c>
      <x:c r="AF11" s="198" t="n">
        <x:f>AA11-(AA11*Impostazioni!$B$7*Impostazioni!$B$8)-MAX(AA11*Impostazioni!$B$7-(AA11*Impostazioni!$B$7*Impostazioni!$B$8),0)*Impostazioni!$B$9</x:f>
        <x:v>0</x:v>
      </x:c>
      <x:c r="AG11" s="198" t="n">
        <x:f>IF(R11=0,0,AF11/R11)</x:f>
        <x:v>0</x:v>
      </x:c>
    </x:row>
    <x:row r="12">
      <x:c r="A12" s="197"/>
      <x:c r="B12" s="197"/>
      <x:c r="C12" s="197"/>
      <x:c r="D12" s="197"/>
      <x:c r="E12" s="197"/>
      <x:c r="F12" s="197"/>
      <x:c r="G12" s="197"/>
      <x:c r="H12" s="197"/>
      <x:c r="I12" s="197"/>
      <x:c r="J12" s="197"/>
      <x:c r="K12" s="198" t="n">
        <x:f>F12+H12+I12+J12</x:f>
        <x:v>0</x:v>
      </x:c>
      <x:c r="L12" s="198" t="n">
        <x:f>SUMIFS('Costi &amp; Tool'!$G:$G,'Costi &amp; Tool'!$C:$C,A12,'Costi &amp; Tool'!$H:$H,"Sì")</x:f>
        <x:v>0</x:v>
      </x:c>
      <x:c r="M12" s="197"/>
      <x:c r="N12" s="197"/>
      <x:c r="O12" s="197"/>
      <x:c r="P12" s="198" t="n">
        <x:f>L12+M12+N12+O12</x:f>
        <x:v>0</x:v>
      </x:c>
      <x:c r="Q12" s="198" t="n">
        <x:f>SUMIFS('Attività &amp; Tempi'!$N:$N,'Attività &amp; Tempi'!$A:$A,A12,'Attività &amp; Tempi'!$E:$E,"Fabio")</x:f>
        <x:v>0</x:v>
      </x:c>
      <x:c r="R12" s="198" t="n">
        <x:f>SUMIFS('Attività &amp; Tempi'!$N:$N,'Attività &amp; Tempi'!$A:$A,A12,'Attività &amp; Tempi'!$E:$E,"Frego")</x:f>
        <x:v>0</x:v>
      </x:c>
      <x:c r="S12" s="198" t="n">
        <x:f>SUMIFS('Attività &amp; Tempi'!$N:$N,'Attività &amp; Tempi'!$A:$A,A12,'Attività &amp; Tempi'!$E:$E,"Jessica")</x:f>
        <x:v>0</x:v>
      </x:c>
      <x:c r="T12" s="198" t="n">
        <x:f>Q12*Impostazioni!$B$4+R12*Impostazioni!$B$5+S12*Impostazioni!$B$6</x:f>
        <x:v>0</x:v>
      </x:c>
      <x:c r="U12" s="197"/>
      <x:c r="V12" s="198" t="n">
        <x:f>IF(1-U12=0,"",ROUND((P12+T12)/(1-U12),0))</x:f>
        <x:v>0</x:v>
      </x:c>
      <x:c r="W12" s="198" t="n">
        <x:f>K12-P12</x:f>
        <x:v>0</x:v>
      </x:c>
      <x:c r="X12" s="198" t="n">
        <x:f>IF(K12=0,0,W12/K12)</x:f>
        <x:v>0</x:v>
      </x:c>
      <x:c r="Y12" s="198" t="str">
        <x:f>IF(K12&lt;V12,IF(OR(C12="Strategico / caso studio",C12="Partnership"),"Strategico ma sottoprezzato","Cliente sottoprezzato"),IF(X12&lt;0.3,"Cliente da rinegoziare",IF((Q12+R12+S12)&gt;80,"Cliente troppo pesante","Cliente sano")))</x:f>
        <x:v>Cliente da rinegoziare</x:v>
      </x:c>
      <x:c r="Z12" s="198" t="n">
        <x:f>MAX(W12,0)/2</x:f>
        <x:v>0</x:v>
      </x:c>
      <x:c r="AA12" s="198" t="n">
        <x:f>MAX(W12,0)/2</x:f>
        <x:v>0</x:v>
      </x:c>
      <x:c r="AB12" s="198" t="n">
        <x:f>Z12*Impostazioni!$B$7*Impostazioni!$B$8</x:f>
        <x:v>0</x:v>
      </x:c>
      <x:c r="AC12" s="198" t="n">
        <x:f>MAX(Z12*Impostazioni!$B$7-AB12,0)*Impostazioni!$B$9</x:f>
        <x:v>0</x:v>
      </x:c>
      <x:c r="AD12" s="198" t="n">
        <x:f>Z12-AB12-AC12</x:f>
        <x:v>0</x:v>
      </x:c>
      <x:c r="AE12" s="198" t="n">
        <x:f>IF(Q12=0,0,AD12/Q12)</x:f>
        <x:v>0</x:v>
      </x:c>
      <x:c r="AF12" s="198" t="n">
        <x:f>AA12-(AA12*Impostazioni!$B$7*Impostazioni!$B$8)-MAX(AA12*Impostazioni!$B$7-(AA12*Impostazioni!$B$7*Impostazioni!$B$8),0)*Impostazioni!$B$9</x:f>
        <x:v>0</x:v>
      </x:c>
      <x:c r="AG12" s="198" t="n">
        <x:f>IF(R12=0,0,AF12/R12)</x:f>
        <x:v>0</x:v>
      </x:c>
    </x:row>
    <x:row r="13">
      <x:c r="A13" s="197"/>
      <x:c r="B13" s="197"/>
      <x:c r="C13" s="197"/>
      <x:c r="D13" s="197"/>
      <x:c r="E13" s="197"/>
      <x:c r="F13" s="197"/>
      <x:c r="G13" s="197"/>
      <x:c r="H13" s="197"/>
      <x:c r="I13" s="197"/>
      <x:c r="J13" s="197"/>
      <x:c r="K13" s="198" t="n">
        <x:f>F13+H13+I13+J13</x:f>
        <x:v>0</x:v>
      </x:c>
      <x:c r="L13" s="198" t="n">
        <x:f>SUMIFS('Costi &amp; Tool'!$G:$G,'Costi &amp; Tool'!$C:$C,A13,'Costi &amp; Tool'!$H:$H,"Sì")</x:f>
        <x:v>0</x:v>
      </x:c>
      <x:c r="M13" s="197"/>
      <x:c r="N13" s="197"/>
      <x:c r="O13" s="197"/>
      <x:c r="P13" s="198" t="n">
        <x:f>L13+M13+N13+O13</x:f>
        <x:v>0</x:v>
      </x:c>
      <x:c r="Q13" s="198" t="n">
        <x:f>SUMIFS('Attività &amp; Tempi'!$N:$N,'Attività &amp; Tempi'!$A:$A,A13,'Attività &amp; Tempi'!$E:$E,"Fabio")</x:f>
        <x:v>0</x:v>
      </x:c>
      <x:c r="R13" s="198" t="n">
        <x:f>SUMIFS('Attività &amp; Tempi'!$N:$N,'Attività &amp; Tempi'!$A:$A,A13,'Attività &amp; Tempi'!$E:$E,"Frego")</x:f>
        <x:v>0</x:v>
      </x:c>
      <x:c r="S13" s="198" t="n">
        <x:f>SUMIFS('Attività &amp; Tempi'!$N:$N,'Attività &amp; Tempi'!$A:$A,A13,'Attività &amp; Tempi'!$E:$E,"Jessica")</x:f>
        <x:v>0</x:v>
      </x:c>
      <x:c r="T13" s="198" t="n">
        <x:f>Q13*Impostazioni!$B$4+R13*Impostazioni!$B$5+S13*Impostazioni!$B$6</x:f>
        <x:v>0</x:v>
      </x:c>
      <x:c r="U13" s="197"/>
      <x:c r="V13" s="198" t="n">
        <x:f>IF(1-U13=0,"",ROUND((P13+T13)/(1-U13),0))</x:f>
        <x:v>0</x:v>
      </x:c>
      <x:c r="W13" s="198" t="n">
        <x:f>K13-P13</x:f>
        <x:v>0</x:v>
      </x:c>
      <x:c r="X13" s="198" t="n">
        <x:f>IF(K13=0,0,W13/K13)</x:f>
        <x:v>0</x:v>
      </x:c>
      <x:c r="Y13" s="198" t="str">
        <x:f>IF(K13&lt;V13,IF(OR(C13="Strategico / caso studio",C13="Partnership"),"Strategico ma sottoprezzato","Cliente sottoprezzato"),IF(X13&lt;0.3,"Cliente da rinegoziare",IF((Q13+R13+S13)&gt;80,"Cliente troppo pesante","Cliente sano")))</x:f>
        <x:v>Cliente da rinegoziare</x:v>
      </x:c>
      <x:c r="Z13" s="198" t="n">
        <x:f>MAX(W13,0)/2</x:f>
        <x:v>0</x:v>
      </x:c>
      <x:c r="AA13" s="198" t="n">
        <x:f>MAX(W13,0)/2</x:f>
        <x:v>0</x:v>
      </x:c>
      <x:c r="AB13" s="198" t="n">
        <x:f>Z13*Impostazioni!$B$7*Impostazioni!$B$8</x:f>
        <x:v>0</x:v>
      </x:c>
      <x:c r="AC13" s="198" t="n">
        <x:f>MAX(Z13*Impostazioni!$B$7-AB13,0)*Impostazioni!$B$9</x:f>
        <x:v>0</x:v>
      </x:c>
      <x:c r="AD13" s="198" t="n">
        <x:f>Z13-AB13-AC13</x:f>
        <x:v>0</x:v>
      </x:c>
      <x:c r="AE13" s="198" t="n">
        <x:f>IF(Q13=0,0,AD13/Q13)</x:f>
        <x:v>0</x:v>
      </x:c>
      <x:c r="AF13" s="198" t="n">
        <x:f>AA13-(AA13*Impostazioni!$B$7*Impostazioni!$B$8)-MAX(AA13*Impostazioni!$B$7-(AA13*Impostazioni!$B$7*Impostazioni!$B$8),0)*Impostazioni!$B$9</x:f>
        <x:v>0</x:v>
      </x:c>
      <x:c r="AG13" s="198" t="n">
        <x:f>IF(R13=0,0,AF13/R13)</x:f>
        <x:v>0</x:v>
      </x:c>
    </x:row>
    <x:row r="14">
      <x:c r="A14" s="197"/>
      <x:c r="B14" s="197"/>
      <x:c r="C14" s="197"/>
      <x:c r="D14" s="197"/>
      <x:c r="E14" s="197"/>
      <x:c r="F14" s="197"/>
      <x:c r="G14" s="197"/>
      <x:c r="H14" s="197"/>
      <x:c r="I14" s="197"/>
      <x:c r="J14" s="197"/>
      <x:c r="K14" s="198" t="n">
        <x:f>F14+H14+I14+J14</x:f>
        <x:v>0</x:v>
      </x:c>
      <x:c r="L14" s="198" t="n">
        <x:f>SUMIFS('Costi &amp; Tool'!$G:$G,'Costi &amp; Tool'!$C:$C,A14,'Costi &amp; Tool'!$H:$H,"Sì")</x:f>
        <x:v>0</x:v>
      </x:c>
      <x:c r="M14" s="197"/>
      <x:c r="N14" s="197"/>
      <x:c r="O14" s="197"/>
      <x:c r="P14" s="198" t="n">
        <x:f>L14+M14+N14+O14</x:f>
        <x:v>0</x:v>
      </x:c>
      <x:c r="Q14" s="198" t="n">
        <x:f>SUMIFS('Attività &amp; Tempi'!$N:$N,'Attività &amp; Tempi'!$A:$A,A14,'Attività &amp; Tempi'!$E:$E,"Fabio")</x:f>
        <x:v>0</x:v>
      </x:c>
      <x:c r="R14" s="198" t="n">
        <x:f>SUMIFS('Attività &amp; Tempi'!$N:$N,'Attività &amp; Tempi'!$A:$A,A14,'Attività &amp; Tempi'!$E:$E,"Frego")</x:f>
        <x:v>0</x:v>
      </x:c>
      <x:c r="S14" s="198" t="n">
        <x:f>SUMIFS('Attività &amp; Tempi'!$N:$N,'Attività &amp; Tempi'!$A:$A,A14,'Attività &amp; Tempi'!$E:$E,"Jessica")</x:f>
        <x:v>0</x:v>
      </x:c>
      <x:c r="T14" s="198" t="n">
        <x:f>Q14*Impostazioni!$B$4+R14*Impostazioni!$B$5+S14*Impostazioni!$B$6</x:f>
        <x:v>0</x:v>
      </x:c>
      <x:c r="U14" s="197"/>
      <x:c r="V14" s="198" t="n">
        <x:f>IF(1-U14=0,"",ROUND((P14+T14)/(1-U14),0))</x:f>
        <x:v>0</x:v>
      </x:c>
      <x:c r="W14" s="198" t="n">
        <x:f>K14-P14</x:f>
        <x:v>0</x:v>
      </x:c>
      <x:c r="X14" s="198" t="n">
        <x:f>IF(K14=0,0,W14/K14)</x:f>
        <x:v>0</x:v>
      </x:c>
      <x:c r="Y14" s="198" t="str">
        <x:f>IF(K14&lt;V14,IF(OR(C14="Strategico / caso studio",C14="Partnership"),"Strategico ma sottoprezzato","Cliente sottoprezzato"),IF(X14&lt;0.3,"Cliente da rinegoziare",IF((Q14+R14+S14)&gt;80,"Cliente troppo pesante","Cliente sano")))</x:f>
        <x:v>Cliente da rinegoziare</x:v>
      </x:c>
      <x:c r="Z14" s="198" t="n">
        <x:f>MAX(W14,0)/2</x:f>
        <x:v>0</x:v>
      </x:c>
      <x:c r="AA14" s="198" t="n">
        <x:f>MAX(W14,0)/2</x:f>
        <x:v>0</x:v>
      </x:c>
      <x:c r="AB14" s="198" t="n">
        <x:f>Z14*Impostazioni!$B$7*Impostazioni!$B$8</x:f>
        <x:v>0</x:v>
      </x:c>
      <x:c r="AC14" s="198" t="n">
        <x:f>MAX(Z14*Impostazioni!$B$7-AB14,0)*Impostazioni!$B$9</x:f>
        <x:v>0</x:v>
      </x:c>
      <x:c r="AD14" s="198" t="n">
        <x:f>Z14-AB14-AC14</x:f>
        <x:v>0</x:v>
      </x:c>
      <x:c r="AE14" s="198" t="n">
        <x:f>IF(Q14=0,0,AD14/Q14)</x:f>
        <x:v>0</x:v>
      </x:c>
      <x:c r="AF14" s="198" t="n">
        <x:f>AA14-(AA14*Impostazioni!$B$7*Impostazioni!$B$8)-MAX(AA14*Impostazioni!$B$7-(AA14*Impostazioni!$B$7*Impostazioni!$B$8),0)*Impostazioni!$B$9</x:f>
        <x:v>0</x:v>
      </x:c>
      <x:c r="AG14" s="198" t="n">
        <x:f>IF(R14=0,0,AF14/R14)</x:f>
        <x:v>0</x:v>
      </x:c>
    </x:row>
    <x:row r="15">
      <x:c r="A15" s="197"/>
      <x:c r="B15" s="197"/>
      <x:c r="C15" s="197"/>
      <x:c r="D15" s="197"/>
      <x:c r="E15" s="197"/>
      <x:c r="F15" s="197"/>
      <x:c r="G15" s="197"/>
      <x:c r="H15" s="197"/>
      <x:c r="I15" s="197"/>
      <x:c r="J15" s="197"/>
      <x:c r="K15" s="198" t="n">
        <x:f>F15+H15+I15+J15</x:f>
        <x:v>0</x:v>
      </x:c>
      <x:c r="L15" s="198" t="n">
        <x:f>SUMIFS('Costi &amp; Tool'!$G:$G,'Costi &amp; Tool'!$C:$C,A15,'Costi &amp; Tool'!$H:$H,"Sì")</x:f>
        <x:v>0</x:v>
      </x:c>
      <x:c r="M15" s="197"/>
      <x:c r="N15" s="197"/>
      <x:c r="O15" s="197"/>
      <x:c r="P15" s="198" t="n">
        <x:f>L15+M15+N15+O15</x:f>
        <x:v>0</x:v>
      </x:c>
      <x:c r="Q15" s="198" t="n">
        <x:f>SUMIFS('Attività &amp; Tempi'!$N:$N,'Attività &amp; Tempi'!$A:$A,A15,'Attività &amp; Tempi'!$E:$E,"Fabio")</x:f>
        <x:v>0</x:v>
      </x:c>
      <x:c r="R15" s="198" t="n">
        <x:f>SUMIFS('Attività &amp; Tempi'!$N:$N,'Attività &amp; Tempi'!$A:$A,A15,'Attività &amp; Tempi'!$E:$E,"Frego")</x:f>
        <x:v>0</x:v>
      </x:c>
      <x:c r="S15" s="198" t="n">
        <x:f>SUMIFS('Attività &amp; Tempi'!$N:$N,'Attività &amp; Tempi'!$A:$A,A15,'Attività &amp; Tempi'!$E:$E,"Jessica")</x:f>
        <x:v>0</x:v>
      </x:c>
      <x:c r="T15" s="198" t="n">
        <x:f>Q15*Impostazioni!$B$4+R15*Impostazioni!$B$5+S15*Impostazioni!$B$6</x:f>
        <x:v>0</x:v>
      </x:c>
      <x:c r="U15" s="197"/>
      <x:c r="V15" s="198" t="n">
        <x:f>IF(1-U15=0,"",ROUND((P15+T15)/(1-U15),0))</x:f>
        <x:v>0</x:v>
      </x:c>
      <x:c r="W15" s="198" t="n">
        <x:f>K15-P15</x:f>
        <x:v>0</x:v>
      </x:c>
      <x:c r="X15" s="198" t="n">
        <x:f>IF(K15=0,0,W15/K15)</x:f>
        <x:v>0</x:v>
      </x:c>
      <x:c r="Y15" s="198" t="str">
        <x:f>IF(K15&lt;V15,IF(OR(C15="Strategico / caso studio",C15="Partnership"),"Strategico ma sottoprezzato","Cliente sottoprezzato"),IF(X15&lt;0.3,"Cliente da rinegoziare",IF((Q15+R15+S15)&gt;80,"Cliente troppo pesante","Cliente sano")))</x:f>
        <x:v>Cliente da rinegoziare</x:v>
      </x:c>
      <x:c r="Z15" s="198" t="n">
        <x:f>MAX(W15,0)/2</x:f>
        <x:v>0</x:v>
      </x:c>
      <x:c r="AA15" s="198" t="n">
        <x:f>MAX(W15,0)/2</x:f>
        <x:v>0</x:v>
      </x:c>
      <x:c r="AB15" s="198" t="n">
        <x:f>Z15*Impostazioni!$B$7*Impostazioni!$B$8</x:f>
        <x:v>0</x:v>
      </x:c>
      <x:c r="AC15" s="198" t="n">
        <x:f>MAX(Z15*Impostazioni!$B$7-AB15,0)*Impostazioni!$B$9</x:f>
        <x:v>0</x:v>
      </x:c>
      <x:c r="AD15" s="198" t="n">
        <x:f>Z15-AB15-AC15</x:f>
        <x:v>0</x:v>
      </x:c>
      <x:c r="AE15" s="198" t="n">
        <x:f>IF(Q15=0,0,AD15/Q15)</x:f>
        <x:v>0</x:v>
      </x:c>
      <x:c r="AF15" s="198" t="n">
        <x:f>AA15-(AA15*Impostazioni!$B$7*Impostazioni!$B$8)-MAX(AA15*Impostazioni!$B$7-(AA15*Impostazioni!$B$7*Impostazioni!$B$8),0)*Impostazioni!$B$9</x:f>
        <x:v>0</x:v>
      </x:c>
      <x:c r="AG15" s="198" t="n">
        <x:f>IF(R15=0,0,AF15/R15)</x:f>
        <x:v>0</x:v>
      </x:c>
    </x:row>
    <x:row r="16">
      <x:c r="A16" s="197"/>
      <x:c r="B16" s="197"/>
      <x:c r="C16" s="197"/>
      <x:c r="D16" s="197"/>
      <x:c r="E16" s="197"/>
      <x:c r="F16" s="197"/>
      <x:c r="G16" s="197"/>
      <x:c r="H16" s="197"/>
      <x:c r="I16" s="197"/>
      <x:c r="J16" s="197"/>
      <x:c r="K16" s="198" t="n">
        <x:f>F16+H16+I16+J16</x:f>
        <x:v>0</x:v>
      </x:c>
      <x:c r="L16" s="198" t="n">
        <x:f>SUMIFS('Costi &amp; Tool'!$G:$G,'Costi &amp; Tool'!$C:$C,A16,'Costi &amp; Tool'!$H:$H,"Sì")</x:f>
        <x:v>0</x:v>
      </x:c>
      <x:c r="M16" s="197"/>
      <x:c r="N16" s="197"/>
      <x:c r="O16" s="197"/>
      <x:c r="P16" s="198" t="n">
        <x:f>L16+M16+N16+O16</x:f>
        <x:v>0</x:v>
      </x:c>
      <x:c r="Q16" s="198" t="n">
        <x:f>SUMIFS('Attività &amp; Tempi'!$N:$N,'Attività &amp; Tempi'!$A:$A,A16,'Attività &amp; Tempi'!$E:$E,"Fabio")</x:f>
        <x:v>0</x:v>
      </x:c>
      <x:c r="R16" s="198" t="n">
        <x:f>SUMIFS('Attività &amp; Tempi'!$N:$N,'Attività &amp; Tempi'!$A:$A,A16,'Attività &amp; Tempi'!$E:$E,"Frego")</x:f>
        <x:v>0</x:v>
      </x:c>
      <x:c r="S16" s="198" t="n">
        <x:f>SUMIFS('Attività &amp; Tempi'!$N:$N,'Attività &amp; Tempi'!$A:$A,A16,'Attività &amp; Tempi'!$E:$E,"Jessica")</x:f>
        <x:v>0</x:v>
      </x:c>
      <x:c r="T16" s="198" t="n">
        <x:f>Q16*Impostazioni!$B$4+R16*Impostazioni!$B$5+S16*Impostazioni!$B$6</x:f>
        <x:v>0</x:v>
      </x:c>
      <x:c r="U16" s="197"/>
      <x:c r="V16" s="198" t="n">
        <x:f>IF(1-U16=0,"",ROUND((P16+T16)/(1-U16),0))</x:f>
        <x:v>0</x:v>
      </x:c>
      <x:c r="W16" s="198" t="n">
        <x:f>K16-P16</x:f>
        <x:v>0</x:v>
      </x:c>
      <x:c r="X16" s="198" t="n">
        <x:f>IF(K16=0,0,W16/K16)</x:f>
        <x:v>0</x:v>
      </x:c>
      <x:c r="Y16" s="198" t="str">
        <x:f>IF(K16&lt;V16,IF(OR(C16="Strategico / caso studio",C16="Partnership"),"Strategico ma sottoprezzato","Cliente sottoprezzato"),IF(X16&lt;0.3,"Cliente da rinegoziare",IF((Q16+R16+S16)&gt;80,"Cliente troppo pesante","Cliente sano")))</x:f>
        <x:v>Cliente da rinegoziare</x:v>
      </x:c>
      <x:c r="Z16" s="198" t="n">
        <x:f>MAX(W16,0)/2</x:f>
        <x:v>0</x:v>
      </x:c>
      <x:c r="AA16" s="198" t="n">
        <x:f>MAX(W16,0)/2</x:f>
        <x:v>0</x:v>
      </x:c>
      <x:c r="AB16" s="198" t="n">
        <x:f>Z16*Impostazioni!$B$7*Impostazioni!$B$8</x:f>
        <x:v>0</x:v>
      </x:c>
      <x:c r="AC16" s="198" t="n">
        <x:f>MAX(Z16*Impostazioni!$B$7-AB16,0)*Impostazioni!$B$9</x:f>
        <x:v>0</x:v>
      </x:c>
      <x:c r="AD16" s="198" t="n">
        <x:f>Z16-AB16-AC16</x:f>
        <x:v>0</x:v>
      </x:c>
      <x:c r="AE16" s="198" t="n">
        <x:f>IF(Q16=0,0,AD16/Q16)</x:f>
        <x:v>0</x:v>
      </x:c>
      <x:c r="AF16" s="198" t="n">
        <x:f>AA16-(AA16*Impostazioni!$B$7*Impostazioni!$B$8)-MAX(AA16*Impostazioni!$B$7-(AA16*Impostazioni!$B$7*Impostazioni!$B$8),0)*Impostazioni!$B$9</x:f>
        <x:v>0</x:v>
      </x:c>
      <x:c r="AG16" s="198" t="n">
        <x:f>IF(R16=0,0,AF16/R16)</x:f>
        <x:v>0</x:v>
      </x:c>
    </x:row>
    <x:row r="17">
      <x:c r="A17" s="197"/>
      <x:c r="B17" s="197"/>
      <x:c r="C17" s="197"/>
      <x:c r="D17" s="197"/>
      <x:c r="E17" s="197"/>
      <x:c r="F17" s="197"/>
      <x:c r="G17" s="197"/>
      <x:c r="H17" s="197"/>
      <x:c r="I17" s="197"/>
      <x:c r="J17" s="197"/>
      <x:c r="K17" s="198" t="n">
        <x:f>F17+H17+I17+J17</x:f>
        <x:v>0</x:v>
      </x:c>
      <x:c r="L17" s="198" t="n">
        <x:f>SUMIFS('Costi &amp; Tool'!$G:$G,'Costi &amp; Tool'!$C:$C,A17,'Costi &amp; Tool'!$H:$H,"Sì")</x:f>
        <x:v>0</x:v>
      </x:c>
      <x:c r="M17" s="197"/>
      <x:c r="N17" s="197"/>
      <x:c r="O17" s="197"/>
      <x:c r="P17" s="198" t="n">
        <x:f>L17+M17+N17+O17</x:f>
        <x:v>0</x:v>
      </x:c>
      <x:c r="Q17" s="198" t="n">
        <x:f>SUMIFS('Attività &amp; Tempi'!$N:$N,'Attività &amp; Tempi'!$A:$A,A17,'Attività &amp; Tempi'!$E:$E,"Fabio")</x:f>
        <x:v>0</x:v>
      </x:c>
      <x:c r="R17" s="198" t="n">
        <x:f>SUMIFS('Attività &amp; Tempi'!$N:$N,'Attività &amp; Tempi'!$A:$A,A17,'Attività &amp; Tempi'!$E:$E,"Frego")</x:f>
        <x:v>0</x:v>
      </x:c>
      <x:c r="S17" s="198" t="n">
        <x:f>SUMIFS('Attività &amp; Tempi'!$N:$N,'Attività &amp; Tempi'!$A:$A,A17,'Attività &amp; Tempi'!$E:$E,"Jessica")</x:f>
        <x:v>0</x:v>
      </x:c>
      <x:c r="T17" s="198" t="n">
        <x:f>Q17*Impostazioni!$B$4+R17*Impostazioni!$B$5+S17*Impostazioni!$B$6</x:f>
        <x:v>0</x:v>
      </x:c>
      <x:c r="U17" s="197"/>
      <x:c r="V17" s="198" t="n">
        <x:f>IF(1-U17=0,"",ROUND((P17+T17)/(1-U17),0))</x:f>
        <x:v>0</x:v>
      </x:c>
      <x:c r="W17" s="198" t="n">
        <x:f>K17-P17</x:f>
        <x:v>0</x:v>
      </x:c>
      <x:c r="X17" s="198" t="n">
        <x:f>IF(K17=0,0,W17/K17)</x:f>
        <x:v>0</x:v>
      </x:c>
      <x:c r="Y17" s="198" t="str">
        <x:f>IF(K17&lt;V17,IF(OR(C17="Strategico / caso studio",C17="Partnership"),"Strategico ma sottoprezzato","Cliente sottoprezzato"),IF(X17&lt;0.3,"Cliente da rinegoziare",IF((Q17+R17+S17)&gt;80,"Cliente troppo pesante","Cliente sano")))</x:f>
        <x:v>Cliente da rinegoziare</x:v>
      </x:c>
      <x:c r="Z17" s="198" t="n">
        <x:f>MAX(W17,0)/2</x:f>
        <x:v>0</x:v>
      </x:c>
      <x:c r="AA17" s="198" t="n">
        <x:f>MAX(W17,0)/2</x:f>
        <x:v>0</x:v>
      </x:c>
      <x:c r="AB17" s="198" t="n">
        <x:f>Z17*Impostazioni!$B$7*Impostazioni!$B$8</x:f>
        <x:v>0</x:v>
      </x:c>
      <x:c r="AC17" s="198" t="n">
        <x:f>MAX(Z17*Impostazioni!$B$7-AB17,0)*Impostazioni!$B$9</x:f>
        <x:v>0</x:v>
      </x:c>
      <x:c r="AD17" s="198" t="n">
        <x:f>Z17-AB17-AC17</x:f>
        <x:v>0</x:v>
      </x:c>
      <x:c r="AE17" s="198" t="n">
        <x:f>IF(Q17=0,0,AD17/Q17)</x:f>
        <x:v>0</x:v>
      </x:c>
      <x:c r="AF17" s="198" t="n">
        <x:f>AA17-(AA17*Impostazioni!$B$7*Impostazioni!$B$8)-MAX(AA17*Impostazioni!$B$7-(AA17*Impostazioni!$B$7*Impostazioni!$B$8),0)*Impostazioni!$B$9</x:f>
        <x:v>0</x:v>
      </x:c>
      <x:c r="AG17" s="198" t="n">
        <x:f>IF(R17=0,0,AF17/R17)</x:f>
        <x:v>0</x:v>
      </x:c>
    </x:row>
    <x:row r="18">
      <x:c r="A18" s="197"/>
      <x:c r="B18" s="197"/>
      <x:c r="C18" s="197"/>
      <x:c r="D18" s="197"/>
      <x:c r="E18" s="197"/>
      <x:c r="F18" s="197"/>
      <x:c r="G18" s="197"/>
      <x:c r="H18" s="197"/>
      <x:c r="I18" s="197"/>
      <x:c r="J18" s="197"/>
      <x:c r="K18" s="198" t="n">
        <x:f>F18+H18+I18+J18</x:f>
        <x:v>0</x:v>
      </x:c>
      <x:c r="L18" s="198" t="n">
        <x:f>SUMIFS('Costi &amp; Tool'!$G:$G,'Costi &amp; Tool'!$C:$C,A18,'Costi &amp; Tool'!$H:$H,"Sì")</x:f>
        <x:v>0</x:v>
      </x:c>
      <x:c r="M18" s="197"/>
      <x:c r="N18" s="197"/>
      <x:c r="O18" s="197"/>
      <x:c r="P18" s="198" t="n">
        <x:f>L18+M18+N18+O18</x:f>
        <x:v>0</x:v>
      </x:c>
      <x:c r="Q18" s="198" t="n">
        <x:f>SUMIFS('Attività &amp; Tempi'!$N:$N,'Attività &amp; Tempi'!$A:$A,A18,'Attività &amp; Tempi'!$E:$E,"Fabio")</x:f>
        <x:v>0</x:v>
      </x:c>
      <x:c r="R18" s="198" t="n">
        <x:f>SUMIFS('Attività &amp; Tempi'!$N:$N,'Attività &amp; Tempi'!$A:$A,A18,'Attività &amp; Tempi'!$E:$E,"Frego")</x:f>
        <x:v>0</x:v>
      </x:c>
      <x:c r="S18" s="198" t="n">
        <x:f>SUMIFS('Attività &amp; Tempi'!$N:$N,'Attività &amp; Tempi'!$A:$A,A18,'Attività &amp; Tempi'!$E:$E,"Jessica")</x:f>
        <x:v>0</x:v>
      </x:c>
      <x:c r="T18" s="198" t="n">
        <x:f>Q18*Impostazioni!$B$4+R18*Impostazioni!$B$5+S18*Impostazioni!$B$6</x:f>
        <x:v>0</x:v>
      </x:c>
      <x:c r="U18" s="197"/>
      <x:c r="V18" s="198" t="n">
        <x:f>IF(1-U18=0,"",ROUND((P18+T18)/(1-U18),0))</x:f>
        <x:v>0</x:v>
      </x:c>
      <x:c r="W18" s="198" t="n">
        <x:f>K18-P18</x:f>
        <x:v>0</x:v>
      </x:c>
      <x:c r="X18" s="198" t="n">
        <x:f>IF(K18=0,0,W18/K18)</x:f>
        <x:v>0</x:v>
      </x:c>
      <x:c r="Y18" s="198" t="str">
        <x:f>IF(K18&lt;V18,IF(OR(C18="Strategico / caso studio",C18="Partnership"),"Strategico ma sottoprezzato","Cliente sottoprezzato"),IF(X18&lt;0.3,"Cliente da rinegoziare",IF((Q18+R18+S18)&gt;80,"Cliente troppo pesante","Cliente sano")))</x:f>
        <x:v>Cliente da rinegoziare</x:v>
      </x:c>
      <x:c r="Z18" s="198" t="n">
        <x:f>MAX(W18,0)/2</x:f>
        <x:v>0</x:v>
      </x:c>
      <x:c r="AA18" s="198" t="n">
        <x:f>MAX(W18,0)/2</x:f>
        <x:v>0</x:v>
      </x:c>
      <x:c r="AB18" s="198" t="n">
        <x:f>Z18*Impostazioni!$B$7*Impostazioni!$B$8</x:f>
        <x:v>0</x:v>
      </x:c>
      <x:c r="AC18" s="198" t="n">
        <x:f>MAX(Z18*Impostazioni!$B$7-AB18,0)*Impostazioni!$B$9</x:f>
        <x:v>0</x:v>
      </x:c>
      <x:c r="AD18" s="198" t="n">
        <x:f>Z18-AB18-AC18</x:f>
        <x:v>0</x:v>
      </x:c>
      <x:c r="AE18" s="198" t="n">
        <x:f>IF(Q18=0,0,AD18/Q18)</x:f>
        <x:v>0</x:v>
      </x:c>
      <x:c r="AF18" s="198" t="n">
        <x:f>AA18-(AA18*Impostazioni!$B$7*Impostazioni!$B$8)-MAX(AA18*Impostazioni!$B$7-(AA18*Impostazioni!$B$7*Impostazioni!$B$8),0)*Impostazioni!$B$9</x:f>
        <x:v>0</x:v>
      </x:c>
      <x:c r="AG18" s="198" t="n">
        <x:f>IF(R18=0,0,AF18/R18)</x:f>
        <x:v>0</x:v>
      </x:c>
    </x:row>
    <x:row r="19">
      <x:c r="A19" s="197"/>
      <x:c r="B19" s="197"/>
      <x:c r="C19" s="197"/>
      <x:c r="D19" s="197"/>
      <x:c r="E19" s="197"/>
      <x:c r="F19" s="197"/>
      <x:c r="G19" s="197"/>
      <x:c r="H19" s="197"/>
      <x:c r="I19" s="197"/>
      <x:c r="J19" s="197"/>
      <x:c r="K19" s="198" t="n">
        <x:f>F19+H19+I19+J19</x:f>
        <x:v>0</x:v>
      </x:c>
      <x:c r="L19" s="198" t="n">
        <x:f>SUMIFS('Costi &amp; Tool'!$G:$G,'Costi &amp; Tool'!$C:$C,A19,'Costi &amp; Tool'!$H:$H,"Sì")</x:f>
        <x:v>0</x:v>
      </x:c>
      <x:c r="M19" s="197"/>
      <x:c r="N19" s="197"/>
      <x:c r="O19" s="197"/>
      <x:c r="P19" s="198" t="n">
        <x:f>L19+M19+N19+O19</x:f>
        <x:v>0</x:v>
      </x:c>
      <x:c r="Q19" s="198" t="n">
        <x:f>SUMIFS('Attività &amp; Tempi'!$N:$N,'Attività &amp; Tempi'!$A:$A,A19,'Attività &amp; Tempi'!$E:$E,"Fabio")</x:f>
        <x:v>0</x:v>
      </x:c>
      <x:c r="R19" s="198" t="n">
        <x:f>SUMIFS('Attività &amp; Tempi'!$N:$N,'Attività &amp; Tempi'!$A:$A,A19,'Attività &amp; Tempi'!$E:$E,"Frego")</x:f>
        <x:v>0</x:v>
      </x:c>
      <x:c r="S19" s="198" t="n">
        <x:f>SUMIFS('Attività &amp; Tempi'!$N:$N,'Attività &amp; Tempi'!$A:$A,A19,'Attività &amp; Tempi'!$E:$E,"Jessica")</x:f>
        <x:v>0</x:v>
      </x:c>
      <x:c r="T19" s="198" t="n">
        <x:f>Q19*Impostazioni!$B$4+R19*Impostazioni!$B$5+S19*Impostazioni!$B$6</x:f>
        <x:v>0</x:v>
      </x:c>
      <x:c r="U19" s="197"/>
      <x:c r="V19" s="198" t="n">
        <x:f>IF(1-U19=0,"",ROUND((P19+T19)/(1-U19),0))</x:f>
        <x:v>0</x:v>
      </x:c>
      <x:c r="W19" s="198" t="n">
        <x:f>K19-P19</x:f>
        <x:v>0</x:v>
      </x:c>
      <x:c r="X19" s="198" t="n">
        <x:f>IF(K19=0,0,W19/K19)</x:f>
        <x:v>0</x:v>
      </x:c>
      <x:c r="Y19" s="198" t="str">
        <x:f>IF(K19&lt;V19,IF(OR(C19="Strategico / caso studio",C19="Partnership"),"Strategico ma sottoprezzato","Cliente sottoprezzato"),IF(X19&lt;0.3,"Cliente da rinegoziare",IF((Q19+R19+S19)&gt;80,"Cliente troppo pesante","Cliente sano")))</x:f>
        <x:v>Cliente da rinegoziare</x:v>
      </x:c>
      <x:c r="Z19" s="198" t="n">
        <x:f>MAX(W19,0)/2</x:f>
        <x:v>0</x:v>
      </x:c>
      <x:c r="AA19" s="198" t="n">
        <x:f>MAX(W19,0)/2</x:f>
        <x:v>0</x:v>
      </x:c>
      <x:c r="AB19" s="198" t="n">
        <x:f>Z19*Impostazioni!$B$7*Impostazioni!$B$8</x:f>
        <x:v>0</x:v>
      </x:c>
      <x:c r="AC19" s="198" t="n">
        <x:f>MAX(Z19*Impostazioni!$B$7-AB19,0)*Impostazioni!$B$9</x:f>
        <x:v>0</x:v>
      </x:c>
      <x:c r="AD19" s="198" t="n">
        <x:f>Z19-AB19-AC19</x:f>
        <x:v>0</x:v>
      </x:c>
      <x:c r="AE19" s="198" t="n">
        <x:f>IF(Q19=0,0,AD19/Q19)</x:f>
        <x:v>0</x:v>
      </x:c>
      <x:c r="AF19" s="198" t="n">
        <x:f>AA19-(AA19*Impostazioni!$B$7*Impostazioni!$B$8)-MAX(AA19*Impostazioni!$B$7-(AA19*Impostazioni!$B$7*Impostazioni!$B$8),0)*Impostazioni!$B$9</x:f>
        <x:v>0</x:v>
      </x:c>
      <x:c r="AG19" s="198" t="n">
        <x:f>IF(R19=0,0,AF19/R19)</x:f>
        <x:v>0</x:v>
      </x:c>
    </x:row>
    <x:row r="20">
      <x:c r="A20" s="197"/>
      <x:c r="B20" s="197"/>
      <x:c r="C20" s="197"/>
      <x:c r="D20" s="197"/>
      <x:c r="E20" s="197"/>
      <x:c r="F20" s="197"/>
      <x:c r="G20" s="197"/>
      <x:c r="H20" s="197"/>
      <x:c r="I20" s="197"/>
      <x:c r="J20" s="197"/>
      <x:c r="K20" s="198" t="n">
        <x:f>F20+H20+I20+J20</x:f>
        <x:v>0</x:v>
      </x:c>
      <x:c r="L20" s="198" t="n">
        <x:f>SUMIFS('Costi &amp; Tool'!$G:$G,'Costi &amp; Tool'!$C:$C,A20,'Costi &amp; Tool'!$H:$H,"Sì")</x:f>
        <x:v>0</x:v>
      </x:c>
      <x:c r="M20" s="197"/>
      <x:c r="N20" s="197"/>
      <x:c r="O20" s="197"/>
      <x:c r="P20" s="198" t="n">
        <x:f>L20+M20+N20+O20</x:f>
        <x:v>0</x:v>
      </x:c>
      <x:c r="Q20" s="198" t="n">
        <x:f>SUMIFS('Attività &amp; Tempi'!$N:$N,'Attività &amp; Tempi'!$A:$A,A20,'Attività &amp; Tempi'!$E:$E,"Fabio")</x:f>
        <x:v>0</x:v>
      </x:c>
      <x:c r="R20" s="198" t="n">
        <x:f>SUMIFS('Attività &amp; Tempi'!$N:$N,'Attività &amp; Tempi'!$A:$A,A20,'Attività &amp; Tempi'!$E:$E,"Frego")</x:f>
        <x:v>0</x:v>
      </x:c>
      <x:c r="S20" s="198" t="n">
        <x:f>SUMIFS('Attività &amp; Tempi'!$N:$N,'Attività &amp; Tempi'!$A:$A,A20,'Attività &amp; Tempi'!$E:$E,"Jessica")</x:f>
        <x:v>0</x:v>
      </x:c>
      <x:c r="T20" s="198" t="n">
        <x:f>Q20*Impostazioni!$B$4+R20*Impostazioni!$B$5+S20*Impostazioni!$B$6</x:f>
        <x:v>0</x:v>
      </x:c>
      <x:c r="U20" s="197"/>
      <x:c r="V20" s="198" t="n">
        <x:f>IF(1-U20=0,"",ROUND((P20+T20)/(1-U20),0))</x:f>
        <x:v>0</x:v>
      </x:c>
      <x:c r="W20" s="198" t="n">
        <x:f>K20-P20</x:f>
        <x:v>0</x:v>
      </x:c>
      <x:c r="X20" s="198" t="n">
        <x:f>IF(K20=0,0,W20/K20)</x:f>
        <x:v>0</x:v>
      </x:c>
      <x:c r="Y20" s="198" t="str">
        <x:f>IF(K20&lt;V20,IF(OR(C20="Strategico / caso studio",C20="Partnership"),"Strategico ma sottoprezzato","Cliente sottoprezzato"),IF(X20&lt;0.3,"Cliente da rinegoziare",IF((Q20+R20+S20)&gt;80,"Cliente troppo pesante","Cliente sano")))</x:f>
        <x:v>Cliente da rinegoziare</x:v>
      </x:c>
      <x:c r="Z20" s="198" t="n">
        <x:f>MAX(W20,0)/2</x:f>
        <x:v>0</x:v>
      </x:c>
      <x:c r="AA20" s="198" t="n">
        <x:f>MAX(W20,0)/2</x:f>
        <x:v>0</x:v>
      </x:c>
      <x:c r="AB20" s="198" t="n">
        <x:f>Z20*Impostazioni!$B$7*Impostazioni!$B$8</x:f>
        <x:v>0</x:v>
      </x:c>
      <x:c r="AC20" s="198" t="n">
        <x:f>MAX(Z20*Impostazioni!$B$7-AB20,0)*Impostazioni!$B$9</x:f>
        <x:v>0</x:v>
      </x:c>
      <x:c r="AD20" s="198" t="n">
        <x:f>Z20-AB20-AC20</x:f>
        <x:v>0</x:v>
      </x:c>
      <x:c r="AE20" s="198" t="n">
        <x:f>IF(Q20=0,0,AD20/Q20)</x:f>
        <x:v>0</x:v>
      </x:c>
      <x:c r="AF20" s="198" t="n">
        <x:f>AA20-(AA20*Impostazioni!$B$7*Impostazioni!$B$8)-MAX(AA20*Impostazioni!$B$7-(AA20*Impostazioni!$B$7*Impostazioni!$B$8),0)*Impostazioni!$B$9</x:f>
        <x:v>0</x:v>
      </x:c>
      <x:c r="AG20" s="198" t="n">
        <x:f>IF(R20=0,0,AF20/R20)</x:f>
        <x:v>0</x:v>
      </x:c>
    </x:row>
    <x:row r="21">
      <x:c r="A21" s="197"/>
      <x:c r="B21" s="197"/>
      <x:c r="C21" s="197"/>
      <x:c r="D21" s="197"/>
      <x:c r="E21" s="197"/>
      <x:c r="F21" s="197"/>
      <x:c r="G21" s="197"/>
      <x:c r="H21" s="197"/>
      <x:c r="I21" s="197"/>
      <x:c r="J21" s="197"/>
      <x:c r="K21" s="198" t="n">
        <x:f>F21+H21+I21+J21</x:f>
        <x:v>0</x:v>
      </x:c>
      <x:c r="L21" s="198" t="n">
        <x:f>SUMIFS('Costi &amp; Tool'!$G:$G,'Costi &amp; Tool'!$C:$C,A21,'Costi &amp; Tool'!$H:$H,"Sì")</x:f>
        <x:v>0</x:v>
      </x:c>
      <x:c r="M21" s="197"/>
      <x:c r="N21" s="197"/>
      <x:c r="O21" s="197"/>
      <x:c r="P21" s="198" t="n">
        <x:f>L21+M21+N21+O21</x:f>
        <x:v>0</x:v>
      </x:c>
      <x:c r="Q21" s="198" t="n">
        <x:f>SUMIFS('Attività &amp; Tempi'!$N:$N,'Attività &amp; Tempi'!$A:$A,A21,'Attività &amp; Tempi'!$E:$E,"Fabio")</x:f>
        <x:v>0</x:v>
      </x:c>
      <x:c r="R21" s="198" t="n">
        <x:f>SUMIFS('Attività &amp; Tempi'!$N:$N,'Attività &amp; Tempi'!$A:$A,A21,'Attività &amp; Tempi'!$E:$E,"Frego")</x:f>
        <x:v>0</x:v>
      </x:c>
      <x:c r="S21" s="198" t="n">
        <x:f>SUMIFS('Attività &amp; Tempi'!$N:$N,'Attività &amp; Tempi'!$A:$A,A21,'Attività &amp; Tempi'!$E:$E,"Jessica")</x:f>
        <x:v>0</x:v>
      </x:c>
      <x:c r="T21" s="198" t="n">
        <x:f>Q21*Impostazioni!$B$4+R21*Impostazioni!$B$5+S21*Impostazioni!$B$6</x:f>
        <x:v>0</x:v>
      </x:c>
      <x:c r="U21" s="197"/>
      <x:c r="V21" s="198" t="n">
        <x:f>IF(1-U21=0,"",ROUND((P21+T21)/(1-U21),0))</x:f>
        <x:v>0</x:v>
      </x:c>
      <x:c r="W21" s="198" t="n">
        <x:f>K21-P21</x:f>
        <x:v>0</x:v>
      </x:c>
      <x:c r="X21" s="198" t="n">
        <x:f>IF(K21=0,0,W21/K21)</x:f>
        <x:v>0</x:v>
      </x:c>
      <x:c r="Y21" s="198" t="str">
        <x:f>IF(K21&lt;V21,IF(OR(C21="Strategico / caso studio",C21="Partnership"),"Strategico ma sottoprezzato","Cliente sottoprezzato"),IF(X21&lt;0.3,"Cliente da rinegoziare",IF((Q21+R21+S21)&gt;80,"Cliente troppo pesante","Cliente sano")))</x:f>
        <x:v>Cliente da rinegoziare</x:v>
      </x:c>
      <x:c r="Z21" s="198" t="n">
        <x:f>MAX(W21,0)/2</x:f>
        <x:v>0</x:v>
      </x:c>
      <x:c r="AA21" s="198" t="n">
        <x:f>MAX(W21,0)/2</x:f>
        <x:v>0</x:v>
      </x:c>
      <x:c r="AB21" s="198" t="n">
        <x:f>Z21*Impostazioni!$B$7*Impostazioni!$B$8</x:f>
        <x:v>0</x:v>
      </x:c>
      <x:c r="AC21" s="198" t="n">
        <x:f>MAX(Z21*Impostazioni!$B$7-AB21,0)*Impostazioni!$B$9</x:f>
        <x:v>0</x:v>
      </x:c>
      <x:c r="AD21" s="198" t="n">
        <x:f>Z21-AB21-AC21</x:f>
        <x:v>0</x:v>
      </x:c>
      <x:c r="AE21" s="198" t="n">
        <x:f>IF(Q21=0,0,AD21/Q21)</x:f>
        <x:v>0</x:v>
      </x:c>
      <x:c r="AF21" s="198" t="n">
        <x:f>AA21-(AA21*Impostazioni!$B$7*Impostazioni!$B$8)-MAX(AA21*Impostazioni!$B$7-(AA21*Impostazioni!$B$7*Impostazioni!$B$8),0)*Impostazioni!$B$9</x:f>
        <x:v>0</x:v>
      </x:c>
      <x:c r="AG21" s="198" t="n">
        <x:f>IF(R21=0,0,AF21/R21)</x:f>
        <x:v>0</x:v>
      </x:c>
    </x:row>
    <x:row r="22">
      <x:c r="A22" s="197"/>
      <x:c r="B22" s="197"/>
      <x:c r="C22" s="197"/>
      <x:c r="D22" s="197"/>
      <x:c r="E22" s="197"/>
      <x:c r="F22" s="197"/>
      <x:c r="G22" s="197"/>
      <x:c r="H22" s="197"/>
      <x:c r="I22" s="197"/>
      <x:c r="J22" s="197"/>
      <x:c r="K22" s="198" t="n">
        <x:f>F22+H22+I22+J22</x:f>
        <x:v>0</x:v>
      </x:c>
      <x:c r="L22" s="198" t="n">
        <x:f>SUMIFS('Costi &amp; Tool'!$G:$G,'Costi &amp; Tool'!$C:$C,A22,'Costi &amp; Tool'!$H:$H,"Sì")</x:f>
        <x:v>0</x:v>
      </x:c>
      <x:c r="M22" s="197"/>
      <x:c r="N22" s="197"/>
      <x:c r="O22" s="197"/>
      <x:c r="P22" s="198" t="n">
        <x:f>L22+M22+N22+O22</x:f>
        <x:v>0</x:v>
      </x:c>
      <x:c r="Q22" s="198" t="n">
        <x:f>SUMIFS('Attività &amp; Tempi'!$N:$N,'Attività &amp; Tempi'!$A:$A,A22,'Attività &amp; Tempi'!$E:$E,"Fabio")</x:f>
        <x:v>0</x:v>
      </x:c>
      <x:c r="R22" s="198" t="n">
        <x:f>SUMIFS('Attività &amp; Tempi'!$N:$N,'Attività &amp; Tempi'!$A:$A,A22,'Attività &amp; Tempi'!$E:$E,"Frego")</x:f>
        <x:v>0</x:v>
      </x:c>
      <x:c r="S22" s="198" t="n">
        <x:f>SUMIFS('Attività &amp; Tempi'!$N:$N,'Attività &amp; Tempi'!$A:$A,A22,'Attività &amp; Tempi'!$E:$E,"Jessica")</x:f>
        <x:v>0</x:v>
      </x:c>
      <x:c r="T22" s="198" t="n">
        <x:f>Q22*Impostazioni!$B$4+R22*Impostazioni!$B$5+S22*Impostazioni!$B$6</x:f>
        <x:v>0</x:v>
      </x:c>
      <x:c r="U22" s="197"/>
      <x:c r="V22" s="198" t="n">
        <x:f>IF(1-U22=0,"",ROUND((P22+T22)/(1-U22),0))</x:f>
        <x:v>0</x:v>
      </x:c>
      <x:c r="W22" s="198" t="n">
        <x:f>K22-P22</x:f>
        <x:v>0</x:v>
      </x:c>
      <x:c r="X22" s="198" t="n">
        <x:f>IF(K22=0,0,W22/K22)</x:f>
        <x:v>0</x:v>
      </x:c>
      <x:c r="Y22" s="198" t="str">
        <x:f>IF(K22&lt;V22,IF(OR(C22="Strategico / caso studio",C22="Partnership"),"Strategico ma sottoprezzato","Cliente sottoprezzato"),IF(X22&lt;0.3,"Cliente da rinegoziare",IF((Q22+R22+S22)&gt;80,"Cliente troppo pesante","Cliente sano")))</x:f>
        <x:v>Cliente da rinegoziare</x:v>
      </x:c>
      <x:c r="Z22" s="198" t="n">
        <x:f>MAX(W22,0)/2</x:f>
        <x:v>0</x:v>
      </x:c>
      <x:c r="AA22" s="198" t="n">
        <x:f>MAX(W22,0)/2</x:f>
        <x:v>0</x:v>
      </x:c>
      <x:c r="AB22" s="198" t="n">
        <x:f>Z22*Impostazioni!$B$7*Impostazioni!$B$8</x:f>
        <x:v>0</x:v>
      </x:c>
      <x:c r="AC22" s="198" t="n">
        <x:f>MAX(Z22*Impostazioni!$B$7-AB22,0)*Impostazioni!$B$9</x:f>
        <x:v>0</x:v>
      </x:c>
      <x:c r="AD22" s="198" t="n">
        <x:f>Z22-AB22-AC22</x:f>
        <x:v>0</x:v>
      </x:c>
      <x:c r="AE22" s="198" t="n">
        <x:f>IF(Q22=0,0,AD22/Q22)</x:f>
        <x:v>0</x:v>
      </x:c>
      <x:c r="AF22" s="198" t="n">
        <x:f>AA22-(AA22*Impostazioni!$B$7*Impostazioni!$B$8)-MAX(AA22*Impostazioni!$B$7-(AA22*Impostazioni!$B$7*Impostazioni!$B$8),0)*Impostazioni!$B$9</x:f>
        <x:v>0</x:v>
      </x:c>
      <x:c r="AG22" s="198" t="n">
        <x:f>IF(R22=0,0,AF22/R22)</x:f>
        <x:v>0</x:v>
      </x:c>
    </x:row>
    <x:row r="23">
      <x:c r="A23" s="197"/>
      <x:c r="B23" s="197"/>
      <x:c r="C23" s="197"/>
      <x:c r="D23" s="197"/>
      <x:c r="E23" s="197"/>
      <x:c r="F23" s="197"/>
      <x:c r="G23" s="197"/>
      <x:c r="H23" s="197"/>
      <x:c r="I23" s="197"/>
      <x:c r="J23" s="197"/>
      <x:c r="K23" s="198" t="n">
        <x:f>F23+H23+I23+J23</x:f>
        <x:v>0</x:v>
      </x:c>
      <x:c r="L23" s="198" t="n">
        <x:f>SUMIFS('Costi &amp; Tool'!$G:$G,'Costi &amp; Tool'!$C:$C,A23,'Costi &amp; Tool'!$H:$H,"Sì")</x:f>
        <x:v>0</x:v>
      </x:c>
      <x:c r="M23" s="197"/>
      <x:c r="N23" s="197"/>
      <x:c r="O23" s="197"/>
      <x:c r="P23" s="198" t="n">
        <x:f>L23+M23+N23+O23</x:f>
        <x:v>0</x:v>
      </x:c>
      <x:c r="Q23" s="198" t="n">
        <x:f>SUMIFS('Attività &amp; Tempi'!$N:$N,'Attività &amp; Tempi'!$A:$A,A23,'Attività &amp; Tempi'!$E:$E,"Fabio")</x:f>
        <x:v>0</x:v>
      </x:c>
      <x:c r="R23" s="198" t="n">
        <x:f>SUMIFS('Attività &amp; Tempi'!$N:$N,'Attività &amp; Tempi'!$A:$A,A23,'Attività &amp; Tempi'!$E:$E,"Frego")</x:f>
        <x:v>0</x:v>
      </x:c>
      <x:c r="S23" s="198" t="n">
        <x:f>SUMIFS('Attività &amp; Tempi'!$N:$N,'Attività &amp; Tempi'!$A:$A,A23,'Attività &amp; Tempi'!$E:$E,"Jessica")</x:f>
        <x:v>0</x:v>
      </x:c>
      <x:c r="T23" s="198" t="n">
        <x:f>Q23*Impostazioni!$B$4+R23*Impostazioni!$B$5+S23*Impostazioni!$B$6</x:f>
        <x:v>0</x:v>
      </x:c>
      <x:c r="U23" s="197"/>
      <x:c r="V23" s="198" t="n">
        <x:f>IF(1-U23=0,"",ROUND((P23+T23)/(1-U23),0))</x:f>
        <x:v>0</x:v>
      </x:c>
      <x:c r="W23" s="198" t="n">
        <x:f>K23-P23</x:f>
        <x:v>0</x:v>
      </x:c>
      <x:c r="X23" s="198" t="n">
        <x:f>IF(K23=0,0,W23/K23)</x:f>
        <x:v>0</x:v>
      </x:c>
      <x:c r="Y23" s="198" t="str">
        <x:f>IF(K23&lt;V23,IF(OR(C23="Strategico / caso studio",C23="Partnership"),"Strategico ma sottoprezzato","Cliente sottoprezzato"),IF(X23&lt;0.3,"Cliente da rinegoziare",IF((Q23+R23+S23)&gt;80,"Cliente troppo pesante","Cliente sano")))</x:f>
        <x:v>Cliente da rinegoziare</x:v>
      </x:c>
      <x:c r="Z23" s="198" t="n">
        <x:f>MAX(W23,0)/2</x:f>
        <x:v>0</x:v>
      </x:c>
      <x:c r="AA23" s="198" t="n">
        <x:f>MAX(W23,0)/2</x:f>
        <x:v>0</x:v>
      </x:c>
      <x:c r="AB23" s="198" t="n">
        <x:f>Z23*Impostazioni!$B$7*Impostazioni!$B$8</x:f>
        <x:v>0</x:v>
      </x:c>
      <x:c r="AC23" s="198" t="n">
        <x:f>MAX(Z23*Impostazioni!$B$7-AB23,0)*Impostazioni!$B$9</x:f>
        <x:v>0</x:v>
      </x:c>
      <x:c r="AD23" s="198" t="n">
        <x:f>Z23-AB23-AC23</x:f>
        <x:v>0</x:v>
      </x:c>
      <x:c r="AE23" s="198" t="n">
        <x:f>IF(Q23=0,0,AD23/Q23)</x:f>
        <x:v>0</x:v>
      </x:c>
      <x:c r="AF23" s="198" t="n">
        <x:f>AA23-(AA23*Impostazioni!$B$7*Impostazioni!$B$8)-MAX(AA23*Impostazioni!$B$7-(AA23*Impostazioni!$B$7*Impostazioni!$B$8),0)*Impostazioni!$B$9</x:f>
        <x:v>0</x:v>
      </x:c>
      <x:c r="AG23" s="198" t="n">
        <x:f>IF(R23=0,0,AF23/R23)</x:f>
        <x:v>0</x:v>
      </x:c>
    </x:row>
    <x:row r="24">
      <x:c r="A24" s="197"/>
      <x:c r="B24" s="197"/>
      <x:c r="C24" s="197"/>
      <x:c r="D24" s="197"/>
      <x:c r="E24" s="197"/>
      <x:c r="F24" s="197"/>
      <x:c r="G24" s="197"/>
      <x:c r="H24" s="197"/>
      <x:c r="I24" s="197"/>
      <x:c r="J24" s="197"/>
      <x:c r="K24" s="198" t="n">
        <x:f>F24+H24+I24+J24</x:f>
        <x:v>0</x:v>
      </x:c>
      <x:c r="L24" s="198" t="n">
        <x:f>SUMIFS('Costi &amp; Tool'!$G:$G,'Costi &amp; Tool'!$C:$C,A24,'Costi &amp; Tool'!$H:$H,"Sì")</x:f>
        <x:v>0</x:v>
      </x:c>
      <x:c r="M24" s="197"/>
      <x:c r="N24" s="197"/>
      <x:c r="O24" s="197"/>
      <x:c r="P24" s="198" t="n">
        <x:f>L24+M24+N24+O24</x:f>
        <x:v>0</x:v>
      </x:c>
      <x:c r="Q24" s="198" t="n">
        <x:f>SUMIFS('Attività &amp; Tempi'!$N:$N,'Attività &amp; Tempi'!$A:$A,A24,'Attività &amp; Tempi'!$E:$E,"Fabio")</x:f>
        <x:v>0</x:v>
      </x:c>
      <x:c r="R24" s="198" t="n">
        <x:f>SUMIFS('Attività &amp; Tempi'!$N:$N,'Attività &amp; Tempi'!$A:$A,A24,'Attività &amp; Tempi'!$E:$E,"Frego")</x:f>
        <x:v>0</x:v>
      </x:c>
      <x:c r="S24" s="198" t="n">
        <x:f>SUMIFS('Attività &amp; Tempi'!$N:$N,'Attività &amp; Tempi'!$A:$A,A24,'Attività &amp; Tempi'!$E:$E,"Jessica")</x:f>
        <x:v>0</x:v>
      </x:c>
      <x:c r="T24" s="198" t="n">
        <x:f>Q24*Impostazioni!$B$4+R24*Impostazioni!$B$5+S24*Impostazioni!$B$6</x:f>
        <x:v>0</x:v>
      </x:c>
      <x:c r="U24" s="197"/>
      <x:c r="V24" s="198" t="n">
        <x:f>IF(1-U24=0,"",ROUND((P24+T24)/(1-U24),0))</x:f>
        <x:v>0</x:v>
      </x:c>
      <x:c r="W24" s="198" t="n">
        <x:f>K24-P24</x:f>
        <x:v>0</x:v>
      </x:c>
      <x:c r="X24" s="198" t="n">
        <x:f>IF(K24=0,0,W24/K24)</x:f>
        <x:v>0</x:v>
      </x:c>
      <x:c r="Y24" s="198" t="str">
        <x:f>IF(K24&lt;V24,IF(OR(C24="Strategico / caso studio",C24="Partnership"),"Strategico ma sottoprezzato","Cliente sottoprezzato"),IF(X24&lt;0.3,"Cliente da rinegoziare",IF((Q24+R24+S24)&gt;80,"Cliente troppo pesante","Cliente sano")))</x:f>
        <x:v>Cliente da rinegoziare</x:v>
      </x:c>
      <x:c r="Z24" s="198" t="n">
        <x:f>MAX(W24,0)/2</x:f>
        <x:v>0</x:v>
      </x:c>
      <x:c r="AA24" s="198" t="n">
        <x:f>MAX(W24,0)/2</x:f>
        <x:v>0</x:v>
      </x:c>
      <x:c r="AB24" s="198" t="n">
        <x:f>Z24*Impostazioni!$B$7*Impostazioni!$B$8</x:f>
        <x:v>0</x:v>
      </x:c>
      <x:c r="AC24" s="198" t="n">
        <x:f>MAX(Z24*Impostazioni!$B$7-AB24,0)*Impostazioni!$B$9</x:f>
        <x:v>0</x:v>
      </x:c>
      <x:c r="AD24" s="198" t="n">
        <x:f>Z24-AB24-AC24</x:f>
        <x:v>0</x:v>
      </x:c>
      <x:c r="AE24" s="198" t="n">
        <x:f>IF(Q24=0,0,AD24/Q24)</x:f>
        <x:v>0</x:v>
      </x:c>
      <x:c r="AF24" s="198" t="n">
        <x:f>AA24-(AA24*Impostazioni!$B$7*Impostazioni!$B$8)-MAX(AA24*Impostazioni!$B$7-(AA24*Impostazioni!$B$7*Impostazioni!$B$8),0)*Impostazioni!$B$9</x:f>
        <x:v>0</x:v>
      </x:c>
      <x:c r="AG24" s="198" t="n">
        <x:f>IF(R24=0,0,AF24/R24)</x:f>
        <x:v>0</x:v>
      </x:c>
    </x:row>
    <x:row r="25">
      <x:c r="A25" s="197"/>
      <x:c r="B25" s="197"/>
      <x:c r="C25" s="197"/>
      <x:c r="D25" s="197"/>
      <x:c r="E25" s="197"/>
      <x:c r="F25" s="197"/>
      <x:c r="G25" s="197"/>
      <x:c r="H25" s="197"/>
      <x:c r="I25" s="197"/>
      <x:c r="J25" s="197"/>
      <x:c r="K25" s="198" t="n">
        <x:f>F25+H25+I25+J25</x:f>
        <x:v>0</x:v>
      </x:c>
      <x:c r="L25" s="198" t="n">
        <x:f>SUMIFS('Costi &amp; Tool'!$G:$G,'Costi &amp; Tool'!$C:$C,A25,'Costi &amp; Tool'!$H:$H,"Sì")</x:f>
        <x:v>0</x:v>
      </x:c>
      <x:c r="M25" s="197"/>
      <x:c r="N25" s="197"/>
      <x:c r="O25" s="197"/>
      <x:c r="P25" s="198" t="n">
        <x:f>L25+M25+N25+O25</x:f>
        <x:v>0</x:v>
      </x:c>
      <x:c r="Q25" s="198" t="n">
        <x:f>SUMIFS('Attività &amp; Tempi'!$N:$N,'Attività &amp; Tempi'!$A:$A,A25,'Attività &amp; Tempi'!$E:$E,"Fabio")</x:f>
        <x:v>0</x:v>
      </x:c>
      <x:c r="R25" s="198" t="n">
        <x:f>SUMIFS('Attività &amp; Tempi'!$N:$N,'Attività &amp; Tempi'!$A:$A,A25,'Attività &amp; Tempi'!$E:$E,"Frego")</x:f>
        <x:v>0</x:v>
      </x:c>
      <x:c r="S25" s="198" t="n">
        <x:f>SUMIFS('Attività &amp; Tempi'!$N:$N,'Attività &amp; Tempi'!$A:$A,A25,'Attività &amp; Tempi'!$E:$E,"Jessica")</x:f>
        <x:v>0</x:v>
      </x:c>
      <x:c r="T25" s="198" t="n">
        <x:f>Q25*Impostazioni!$B$4+R25*Impostazioni!$B$5+S25*Impostazioni!$B$6</x:f>
        <x:v>0</x:v>
      </x:c>
      <x:c r="U25" s="197"/>
      <x:c r="V25" s="198" t="n">
        <x:f>IF(1-U25=0,"",ROUND((P25+T25)/(1-U25),0))</x:f>
        <x:v>0</x:v>
      </x:c>
      <x:c r="W25" s="198" t="n">
        <x:f>K25-P25</x:f>
        <x:v>0</x:v>
      </x:c>
      <x:c r="X25" s="198" t="n">
        <x:f>IF(K25=0,0,W25/K25)</x:f>
        <x:v>0</x:v>
      </x:c>
      <x:c r="Y25" s="198" t="str">
        <x:f>IF(K25&lt;V25,IF(OR(C25="Strategico / caso studio",C25="Partnership"),"Strategico ma sottoprezzato","Cliente sottoprezzato"),IF(X25&lt;0.3,"Cliente da rinegoziare",IF((Q25+R25+S25)&gt;80,"Cliente troppo pesante","Cliente sano")))</x:f>
        <x:v>Cliente da rinegoziare</x:v>
      </x:c>
      <x:c r="Z25" s="198" t="n">
        <x:f>MAX(W25,0)/2</x:f>
        <x:v>0</x:v>
      </x:c>
      <x:c r="AA25" s="198" t="n">
        <x:f>MAX(W25,0)/2</x:f>
        <x:v>0</x:v>
      </x:c>
      <x:c r="AB25" s="198" t="n">
        <x:f>Z25*Impostazioni!$B$7*Impostazioni!$B$8</x:f>
        <x:v>0</x:v>
      </x:c>
      <x:c r="AC25" s="198" t="n">
        <x:f>MAX(Z25*Impostazioni!$B$7-AB25,0)*Impostazioni!$B$9</x:f>
        <x:v>0</x:v>
      </x:c>
      <x:c r="AD25" s="198" t="n">
        <x:f>Z25-AB25-AC25</x:f>
        <x:v>0</x:v>
      </x:c>
      <x:c r="AE25" s="198" t="n">
        <x:f>IF(Q25=0,0,AD25/Q25)</x:f>
        <x:v>0</x:v>
      </x:c>
      <x:c r="AF25" s="198" t="n">
        <x:f>AA25-(AA25*Impostazioni!$B$7*Impostazioni!$B$8)-MAX(AA25*Impostazioni!$B$7-(AA25*Impostazioni!$B$7*Impostazioni!$B$8),0)*Impostazioni!$B$9</x:f>
        <x:v>0</x:v>
      </x:c>
      <x:c r="AG25" s="198" t="n">
        <x:f>IF(R25=0,0,AF25/R25)</x:f>
        <x:v>0</x:v>
      </x:c>
    </x:row>
    <x:row r="26">
      <x:c r="A26" s="197"/>
      <x:c r="B26" s="197"/>
      <x:c r="C26" s="197"/>
      <x:c r="D26" s="197"/>
      <x:c r="E26" s="197"/>
      <x:c r="F26" s="197"/>
      <x:c r="G26" s="197"/>
      <x:c r="H26" s="197"/>
      <x:c r="I26" s="197"/>
      <x:c r="J26" s="197"/>
      <x:c r="K26" s="198" t="n">
        <x:f>F26+H26+I26+J26</x:f>
        <x:v>0</x:v>
      </x:c>
      <x:c r="L26" s="198" t="n">
        <x:f>SUMIFS('Costi &amp; Tool'!$G:$G,'Costi &amp; Tool'!$C:$C,A26,'Costi &amp; Tool'!$H:$H,"Sì")</x:f>
        <x:v>0</x:v>
      </x:c>
      <x:c r="M26" s="197"/>
      <x:c r="N26" s="197"/>
      <x:c r="O26" s="197"/>
      <x:c r="P26" s="198" t="n">
        <x:f>L26+M26+N26+O26</x:f>
        <x:v>0</x:v>
      </x:c>
      <x:c r="Q26" s="198" t="n">
        <x:f>SUMIFS('Attività &amp; Tempi'!$N:$N,'Attività &amp; Tempi'!$A:$A,A26,'Attività &amp; Tempi'!$E:$E,"Fabio")</x:f>
        <x:v>0</x:v>
      </x:c>
      <x:c r="R26" s="198" t="n">
        <x:f>SUMIFS('Attività &amp; Tempi'!$N:$N,'Attività &amp; Tempi'!$A:$A,A26,'Attività &amp; Tempi'!$E:$E,"Frego")</x:f>
        <x:v>0</x:v>
      </x:c>
      <x:c r="S26" s="198" t="n">
        <x:f>SUMIFS('Attività &amp; Tempi'!$N:$N,'Attività &amp; Tempi'!$A:$A,A26,'Attività &amp; Tempi'!$E:$E,"Jessica")</x:f>
        <x:v>0</x:v>
      </x:c>
      <x:c r="T26" s="198" t="n">
        <x:f>Q26*Impostazioni!$B$4+R26*Impostazioni!$B$5+S26*Impostazioni!$B$6</x:f>
        <x:v>0</x:v>
      </x:c>
      <x:c r="U26" s="197"/>
      <x:c r="V26" s="198" t="n">
        <x:f>IF(1-U26=0,"",ROUND((P26+T26)/(1-U26),0))</x:f>
        <x:v>0</x:v>
      </x:c>
      <x:c r="W26" s="198" t="n">
        <x:f>K26-P26</x:f>
        <x:v>0</x:v>
      </x:c>
      <x:c r="X26" s="198" t="n">
        <x:f>IF(K26=0,0,W26/K26)</x:f>
        <x:v>0</x:v>
      </x:c>
      <x:c r="Y26" s="198" t="str">
        <x:f>IF(K26&lt;V26,IF(OR(C26="Strategico / caso studio",C26="Partnership"),"Strategico ma sottoprezzato","Cliente sottoprezzato"),IF(X26&lt;0.3,"Cliente da rinegoziare",IF((Q26+R26+S26)&gt;80,"Cliente troppo pesante","Cliente sano")))</x:f>
        <x:v>Cliente da rinegoziare</x:v>
      </x:c>
      <x:c r="Z26" s="198" t="n">
        <x:f>MAX(W26,0)/2</x:f>
        <x:v>0</x:v>
      </x:c>
      <x:c r="AA26" s="198" t="n">
        <x:f>MAX(W26,0)/2</x:f>
        <x:v>0</x:v>
      </x:c>
      <x:c r="AB26" s="198" t="n">
        <x:f>Z26*Impostazioni!$B$7*Impostazioni!$B$8</x:f>
        <x:v>0</x:v>
      </x:c>
      <x:c r="AC26" s="198" t="n">
        <x:f>MAX(Z26*Impostazioni!$B$7-AB26,0)*Impostazioni!$B$9</x:f>
        <x:v>0</x:v>
      </x:c>
      <x:c r="AD26" s="198" t="n">
        <x:f>Z26-AB26-AC26</x:f>
        <x:v>0</x:v>
      </x:c>
      <x:c r="AE26" s="198" t="n">
        <x:f>IF(Q26=0,0,AD26/Q26)</x:f>
        <x:v>0</x:v>
      </x:c>
      <x:c r="AF26" s="198" t="n">
        <x:f>AA26-(AA26*Impostazioni!$B$7*Impostazioni!$B$8)-MAX(AA26*Impostazioni!$B$7-(AA26*Impostazioni!$B$7*Impostazioni!$B$8),0)*Impostazioni!$B$9</x:f>
        <x:v>0</x:v>
      </x:c>
      <x:c r="AG26" s="198" t="n">
        <x:f>IF(R26=0,0,AF26/R26)</x:f>
        <x:v>0</x:v>
      </x:c>
    </x:row>
    <x:row r="27">
      <x:c r="A27" s="197"/>
      <x:c r="B27" s="197"/>
      <x:c r="C27" s="197"/>
      <x:c r="D27" s="197"/>
      <x:c r="E27" s="197"/>
      <x:c r="F27" s="197"/>
      <x:c r="G27" s="197"/>
      <x:c r="H27" s="197"/>
      <x:c r="I27" s="197"/>
      <x:c r="J27" s="197"/>
      <x:c r="K27" s="198" t="n">
        <x:f>F27+H27+I27+J27</x:f>
        <x:v>0</x:v>
      </x:c>
      <x:c r="L27" s="198" t="n">
        <x:f>SUMIFS('Costi &amp; Tool'!$G:$G,'Costi &amp; Tool'!$C:$C,A27,'Costi &amp; Tool'!$H:$H,"Sì")</x:f>
        <x:v>0</x:v>
      </x:c>
      <x:c r="M27" s="197"/>
      <x:c r="N27" s="197"/>
      <x:c r="O27" s="197"/>
      <x:c r="P27" s="198" t="n">
        <x:f>L27+M27+N27+O27</x:f>
        <x:v>0</x:v>
      </x:c>
      <x:c r="Q27" s="198" t="n">
        <x:f>SUMIFS('Attività &amp; Tempi'!$N:$N,'Attività &amp; Tempi'!$A:$A,A27,'Attività &amp; Tempi'!$E:$E,"Fabio")</x:f>
        <x:v>0</x:v>
      </x:c>
      <x:c r="R27" s="198" t="n">
        <x:f>SUMIFS('Attività &amp; Tempi'!$N:$N,'Attività &amp; Tempi'!$A:$A,A27,'Attività &amp; Tempi'!$E:$E,"Frego")</x:f>
        <x:v>0</x:v>
      </x:c>
      <x:c r="S27" s="198" t="n">
        <x:f>SUMIFS('Attività &amp; Tempi'!$N:$N,'Attività &amp; Tempi'!$A:$A,A27,'Attività &amp; Tempi'!$E:$E,"Jessica")</x:f>
        <x:v>0</x:v>
      </x:c>
      <x:c r="T27" s="198" t="n">
        <x:f>Q27*Impostazioni!$B$4+R27*Impostazioni!$B$5+S27*Impostazioni!$B$6</x:f>
        <x:v>0</x:v>
      </x:c>
      <x:c r="U27" s="197"/>
      <x:c r="V27" s="198" t="n">
        <x:f>IF(1-U27=0,"",ROUND((P27+T27)/(1-U27),0))</x:f>
        <x:v>0</x:v>
      </x:c>
      <x:c r="W27" s="198" t="n">
        <x:f>K27-P27</x:f>
        <x:v>0</x:v>
      </x:c>
      <x:c r="X27" s="198" t="n">
        <x:f>IF(K27=0,0,W27/K27)</x:f>
        <x:v>0</x:v>
      </x:c>
      <x:c r="Y27" s="198" t="str">
        <x:f>IF(K27&lt;V27,IF(OR(C27="Strategico / caso studio",C27="Partnership"),"Strategico ma sottoprezzato","Cliente sottoprezzato"),IF(X27&lt;0.3,"Cliente da rinegoziare",IF((Q27+R27+S27)&gt;80,"Cliente troppo pesante","Cliente sano")))</x:f>
        <x:v>Cliente da rinegoziare</x:v>
      </x:c>
      <x:c r="Z27" s="198" t="n">
        <x:f>MAX(W27,0)/2</x:f>
        <x:v>0</x:v>
      </x:c>
      <x:c r="AA27" s="198" t="n">
        <x:f>MAX(W27,0)/2</x:f>
        <x:v>0</x:v>
      </x:c>
      <x:c r="AB27" s="198" t="n">
        <x:f>Z27*Impostazioni!$B$7*Impostazioni!$B$8</x:f>
        <x:v>0</x:v>
      </x:c>
      <x:c r="AC27" s="198" t="n">
        <x:f>MAX(Z27*Impostazioni!$B$7-AB27,0)*Impostazioni!$B$9</x:f>
        <x:v>0</x:v>
      </x:c>
      <x:c r="AD27" s="198" t="n">
        <x:f>Z27-AB27-AC27</x:f>
        <x:v>0</x:v>
      </x:c>
      <x:c r="AE27" s="198" t="n">
        <x:f>IF(Q27=0,0,AD27/Q27)</x:f>
        <x:v>0</x:v>
      </x:c>
      <x:c r="AF27" s="198" t="n">
        <x:f>AA27-(AA27*Impostazioni!$B$7*Impostazioni!$B$8)-MAX(AA27*Impostazioni!$B$7-(AA27*Impostazioni!$B$7*Impostazioni!$B$8),0)*Impostazioni!$B$9</x:f>
        <x:v>0</x:v>
      </x:c>
      <x:c r="AG27" s="198" t="n">
        <x:f>IF(R27=0,0,AF27/R27)</x:f>
        <x:v>0</x:v>
      </x:c>
    </x:row>
    <x:row r="28">
      <x:c r="A28" s="197"/>
      <x:c r="B28" s="197"/>
      <x:c r="C28" s="197"/>
      <x:c r="D28" s="197"/>
      <x:c r="E28" s="197"/>
      <x:c r="F28" s="197"/>
      <x:c r="G28" s="197"/>
      <x:c r="H28" s="197"/>
      <x:c r="I28" s="197"/>
      <x:c r="J28" s="197"/>
      <x:c r="K28" s="198" t="n">
        <x:f>F28+H28+I28+J28</x:f>
        <x:v>0</x:v>
      </x:c>
      <x:c r="L28" s="198" t="n">
        <x:f>SUMIFS('Costi &amp; Tool'!$G:$G,'Costi &amp; Tool'!$C:$C,A28,'Costi &amp; Tool'!$H:$H,"Sì")</x:f>
        <x:v>0</x:v>
      </x:c>
      <x:c r="M28" s="197"/>
      <x:c r="N28" s="197"/>
      <x:c r="O28" s="197"/>
      <x:c r="P28" s="198" t="n">
        <x:f>L28+M28+N28+O28</x:f>
        <x:v>0</x:v>
      </x:c>
      <x:c r="Q28" s="198" t="n">
        <x:f>SUMIFS('Attività &amp; Tempi'!$N:$N,'Attività &amp; Tempi'!$A:$A,A28,'Attività &amp; Tempi'!$E:$E,"Fabio")</x:f>
        <x:v>0</x:v>
      </x:c>
      <x:c r="R28" s="198" t="n">
        <x:f>SUMIFS('Attività &amp; Tempi'!$N:$N,'Attività &amp; Tempi'!$A:$A,A28,'Attività &amp; Tempi'!$E:$E,"Frego")</x:f>
        <x:v>0</x:v>
      </x:c>
      <x:c r="S28" s="198" t="n">
        <x:f>SUMIFS('Attività &amp; Tempi'!$N:$N,'Attività &amp; Tempi'!$A:$A,A28,'Attività &amp; Tempi'!$E:$E,"Jessica")</x:f>
        <x:v>0</x:v>
      </x:c>
      <x:c r="T28" s="198" t="n">
        <x:f>Q28*Impostazioni!$B$4+R28*Impostazioni!$B$5+S28*Impostazioni!$B$6</x:f>
        <x:v>0</x:v>
      </x:c>
      <x:c r="U28" s="197"/>
      <x:c r="V28" s="198" t="n">
        <x:f>IF(1-U28=0,"",ROUND((P28+T28)/(1-U28),0))</x:f>
        <x:v>0</x:v>
      </x:c>
      <x:c r="W28" s="198" t="n">
        <x:f>K28-P28</x:f>
        <x:v>0</x:v>
      </x:c>
      <x:c r="X28" s="198" t="n">
        <x:f>IF(K28=0,0,W28/K28)</x:f>
        <x:v>0</x:v>
      </x:c>
      <x:c r="Y28" s="198" t="str">
        <x:f>IF(K28&lt;V28,IF(OR(C28="Strategico / caso studio",C28="Partnership"),"Strategico ma sottoprezzato","Cliente sottoprezzato"),IF(X28&lt;0.3,"Cliente da rinegoziare",IF((Q28+R28+S28)&gt;80,"Cliente troppo pesante","Cliente sano")))</x:f>
        <x:v>Cliente da rinegoziare</x:v>
      </x:c>
      <x:c r="Z28" s="198" t="n">
        <x:f>MAX(W28,0)/2</x:f>
        <x:v>0</x:v>
      </x:c>
      <x:c r="AA28" s="198" t="n">
        <x:f>MAX(W28,0)/2</x:f>
        <x:v>0</x:v>
      </x:c>
      <x:c r="AB28" s="198" t="n">
        <x:f>Z28*Impostazioni!$B$7*Impostazioni!$B$8</x:f>
        <x:v>0</x:v>
      </x:c>
      <x:c r="AC28" s="198" t="n">
        <x:f>MAX(Z28*Impostazioni!$B$7-AB28,0)*Impostazioni!$B$9</x:f>
        <x:v>0</x:v>
      </x:c>
      <x:c r="AD28" s="198" t="n">
        <x:f>Z28-AB28-AC28</x:f>
        <x:v>0</x:v>
      </x:c>
      <x:c r="AE28" s="198" t="n">
        <x:f>IF(Q28=0,0,AD28/Q28)</x:f>
        <x:v>0</x:v>
      </x:c>
      <x:c r="AF28" s="198" t="n">
        <x:f>AA28-(AA28*Impostazioni!$B$7*Impostazioni!$B$8)-MAX(AA28*Impostazioni!$B$7-(AA28*Impostazioni!$B$7*Impostazioni!$B$8),0)*Impostazioni!$B$9</x:f>
        <x:v>0</x:v>
      </x:c>
      <x:c r="AG28" s="198" t="n">
        <x:f>IF(R28=0,0,AF28/R28)</x:f>
        <x:v>0</x:v>
      </x:c>
    </x:row>
    <x:row r="29">
      <x:c r="A29" s="197"/>
      <x:c r="B29" s="197"/>
      <x:c r="C29" s="197"/>
      <x:c r="D29" s="197"/>
      <x:c r="E29" s="197"/>
      <x:c r="F29" s="197"/>
      <x:c r="G29" s="197"/>
      <x:c r="H29" s="197"/>
      <x:c r="I29" s="197"/>
      <x:c r="J29" s="197"/>
      <x:c r="K29" s="198" t="n">
        <x:f>F29+H29+I29+J29</x:f>
        <x:v>0</x:v>
      </x:c>
      <x:c r="L29" s="198" t="n">
        <x:f>SUMIFS('Costi &amp; Tool'!$G:$G,'Costi &amp; Tool'!$C:$C,A29,'Costi &amp; Tool'!$H:$H,"Sì")</x:f>
        <x:v>0</x:v>
      </x:c>
      <x:c r="M29" s="197"/>
      <x:c r="N29" s="197"/>
      <x:c r="O29" s="197"/>
      <x:c r="P29" s="198" t="n">
        <x:f>L29+M29+N29+O29</x:f>
        <x:v>0</x:v>
      </x:c>
      <x:c r="Q29" s="198" t="n">
        <x:f>SUMIFS('Attività &amp; Tempi'!$N:$N,'Attività &amp; Tempi'!$A:$A,A29,'Attività &amp; Tempi'!$E:$E,"Fabio")</x:f>
        <x:v>0</x:v>
      </x:c>
      <x:c r="R29" s="198" t="n">
        <x:f>SUMIFS('Attività &amp; Tempi'!$N:$N,'Attività &amp; Tempi'!$A:$A,A29,'Attività &amp; Tempi'!$E:$E,"Frego")</x:f>
        <x:v>0</x:v>
      </x:c>
      <x:c r="S29" s="198" t="n">
        <x:f>SUMIFS('Attività &amp; Tempi'!$N:$N,'Attività &amp; Tempi'!$A:$A,A29,'Attività &amp; Tempi'!$E:$E,"Jessica")</x:f>
        <x:v>0</x:v>
      </x:c>
      <x:c r="T29" s="198" t="n">
        <x:f>Q29*Impostazioni!$B$4+R29*Impostazioni!$B$5+S29*Impostazioni!$B$6</x:f>
        <x:v>0</x:v>
      </x:c>
      <x:c r="U29" s="197"/>
      <x:c r="V29" s="198" t="n">
        <x:f>IF(1-U29=0,"",ROUND((P29+T29)/(1-U29),0))</x:f>
        <x:v>0</x:v>
      </x:c>
      <x:c r="W29" s="198" t="n">
        <x:f>K29-P29</x:f>
        <x:v>0</x:v>
      </x:c>
      <x:c r="X29" s="198" t="n">
        <x:f>IF(K29=0,0,W29/K29)</x:f>
        <x:v>0</x:v>
      </x:c>
      <x:c r="Y29" s="198" t="str">
        <x:f>IF(K29&lt;V29,IF(OR(C29="Strategico / caso studio",C29="Partnership"),"Strategico ma sottoprezzato","Cliente sottoprezzato"),IF(X29&lt;0.3,"Cliente da rinegoziare",IF((Q29+R29+S29)&gt;80,"Cliente troppo pesante","Cliente sano")))</x:f>
        <x:v>Cliente da rinegoziare</x:v>
      </x:c>
      <x:c r="Z29" s="198" t="n">
        <x:f>MAX(W29,0)/2</x:f>
        <x:v>0</x:v>
      </x:c>
      <x:c r="AA29" s="198" t="n">
        <x:f>MAX(W29,0)/2</x:f>
        <x:v>0</x:v>
      </x:c>
      <x:c r="AB29" s="198" t="n">
        <x:f>Z29*Impostazioni!$B$7*Impostazioni!$B$8</x:f>
        <x:v>0</x:v>
      </x:c>
      <x:c r="AC29" s="198" t="n">
        <x:f>MAX(Z29*Impostazioni!$B$7-AB29,0)*Impostazioni!$B$9</x:f>
        <x:v>0</x:v>
      </x:c>
      <x:c r="AD29" s="198" t="n">
        <x:f>Z29-AB29-AC29</x:f>
        <x:v>0</x:v>
      </x:c>
      <x:c r="AE29" s="198" t="n">
        <x:f>IF(Q29=0,0,AD29/Q29)</x:f>
        <x:v>0</x:v>
      </x:c>
      <x:c r="AF29" s="198" t="n">
        <x:f>AA29-(AA29*Impostazioni!$B$7*Impostazioni!$B$8)-MAX(AA29*Impostazioni!$B$7-(AA29*Impostazioni!$B$7*Impostazioni!$B$8),0)*Impostazioni!$B$9</x:f>
        <x:v>0</x:v>
      </x:c>
      <x:c r="AG29" s="198" t="n">
        <x:f>IF(R29=0,0,AF29/R29)</x:f>
        <x:v>0</x:v>
      </x:c>
    </x:row>
    <x:row r="30">
      <x:c r="A30" s="197"/>
      <x:c r="B30" s="197"/>
      <x:c r="C30" s="197"/>
      <x:c r="D30" s="197"/>
      <x:c r="E30" s="197"/>
      <x:c r="F30" s="197"/>
      <x:c r="G30" s="197"/>
      <x:c r="H30" s="197"/>
      <x:c r="I30" s="197"/>
      <x:c r="J30" s="197"/>
      <x:c r="K30" s="198" t="n">
        <x:f>F30+H30+I30+J30</x:f>
        <x:v>0</x:v>
      </x:c>
      <x:c r="L30" s="198" t="n">
        <x:f>SUMIFS('Costi &amp; Tool'!$G:$G,'Costi &amp; Tool'!$C:$C,A30,'Costi &amp; Tool'!$H:$H,"Sì")</x:f>
        <x:v>0</x:v>
      </x:c>
      <x:c r="M30" s="197"/>
      <x:c r="N30" s="197"/>
      <x:c r="O30" s="197"/>
      <x:c r="P30" s="198" t="n">
        <x:f>L30+M30+N30+O30</x:f>
        <x:v>0</x:v>
      </x:c>
      <x:c r="Q30" s="198" t="n">
        <x:f>SUMIFS('Attività &amp; Tempi'!$N:$N,'Attività &amp; Tempi'!$A:$A,A30,'Attività &amp; Tempi'!$E:$E,"Fabio")</x:f>
        <x:v>0</x:v>
      </x:c>
      <x:c r="R30" s="198" t="n">
        <x:f>SUMIFS('Attività &amp; Tempi'!$N:$N,'Attività &amp; Tempi'!$A:$A,A30,'Attività &amp; Tempi'!$E:$E,"Frego")</x:f>
        <x:v>0</x:v>
      </x:c>
      <x:c r="S30" s="198" t="n">
        <x:f>SUMIFS('Attività &amp; Tempi'!$N:$N,'Attività &amp; Tempi'!$A:$A,A30,'Attività &amp; Tempi'!$E:$E,"Jessica")</x:f>
        <x:v>0</x:v>
      </x:c>
      <x:c r="T30" s="198" t="n">
        <x:f>Q30*Impostazioni!$B$4+R30*Impostazioni!$B$5+S30*Impostazioni!$B$6</x:f>
        <x:v>0</x:v>
      </x:c>
      <x:c r="U30" s="197"/>
      <x:c r="V30" s="198" t="n">
        <x:f>IF(1-U30=0,"",ROUND((P30+T30)/(1-U30),0))</x:f>
        <x:v>0</x:v>
      </x:c>
      <x:c r="W30" s="198" t="n">
        <x:f>K30-P30</x:f>
        <x:v>0</x:v>
      </x:c>
      <x:c r="X30" s="198" t="n">
        <x:f>IF(K30=0,0,W30/K30)</x:f>
        <x:v>0</x:v>
      </x:c>
      <x:c r="Y30" s="198" t="str">
        <x:f>IF(K30&lt;V30,IF(OR(C30="Strategico / caso studio",C30="Partnership"),"Strategico ma sottoprezzato","Cliente sottoprezzato"),IF(X30&lt;0.3,"Cliente da rinegoziare",IF((Q30+R30+S30)&gt;80,"Cliente troppo pesante","Cliente sano")))</x:f>
        <x:v>Cliente da rinegoziare</x:v>
      </x:c>
      <x:c r="Z30" s="198" t="n">
        <x:f>MAX(W30,0)/2</x:f>
        <x:v>0</x:v>
      </x:c>
      <x:c r="AA30" s="198" t="n">
        <x:f>MAX(W30,0)/2</x:f>
        <x:v>0</x:v>
      </x:c>
      <x:c r="AB30" s="198" t="n">
        <x:f>Z30*Impostazioni!$B$7*Impostazioni!$B$8</x:f>
        <x:v>0</x:v>
      </x:c>
      <x:c r="AC30" s="198" t="n">
        <x:f>MAX(Z30*Impostazioni!$B$7-AB30,0)*Impostazioni!$B$9</x:f>
        <x:v>0</x:v>
      </x:c>
      <x:c r="AD30" s="198" t="n">
        <x:f>Z30-AB30-AC30</x:f>
        <x:v>0</x:v>
      </x:c>
      <x:c r="AE30" s="198" t="n">
        <x:f>IF(Q30=0,0,AD30/Q30)</x:f>
        <x:v>0</x:v>
      </x:c>
      <x:c r="AF30" s="198" t="n">
        <x:f>AA30-(AA30*Impostazioni!$B$7*Impostazioni!$B$8)-MAX(AA30*Impostazioni!$B$7-(AA30*Impostazioni!$B$7*Impostazioni!$B$8),0)*Impostazioni!$B$9</x:f>
        <x:v>0</x:v>
      </x:c>
      <x:c r="AG30" s="198" t="n">
        <x:f>IF(R30=0,0,AF30/R30)</x:f>
        <x:v>0</x:v>
      </x:c>
    </x:row>
    <x:row r="31">
      <x:c r="A31" s="197"/>
      <x:c r="B31" s="197"/>
      <x:c r="C31" s="197"/>
      <x:c r="D31" s="197"/>
      <x:c r="E31" s="197"/>
      <x:c r="F31" s="197"/>
      <x:c r="G31" s="197"/>
      <x:c r="H31" s="197"/>
      <x:c r="I31" s="197"/>
      <x:c r="J31" s="197"/>
      <x:c r="K31" s="198" t="n">
        <x:f>F31+H31+I31+J31</x:f>
        <x:v>0</x:v>
      </x:c>
      <x:c r="L31" s="198" t="n">
        <x:f>SUMIFS('Costi &amp; Tool'!$G:$G,'Costi &amp; Tool'!$C:$C,A31,'Costi &amp; Tool'!$H:$H,"Sì")</x:f>
        <x:v>0</x:v>
      </x:c>
      <x:c r="M31" s="197"/>
      <x:c r="N31" s="197"/>
      <x:c r="O31" s="197"/>
      <x:c r="P31" s="198" t="n">
        <x:f>L31+M31+N31+O31</x:f>
        <x:v>0</x:v>
      </x:c>
      <x:c r="Q31" s="198" t="n">
        <x:f>SUMIFS('Attività &amp; Tempi'!$N:$N,'Attività &amp; Tempi'!$A:$A,A31,'Attività &amp; Tempi'!$E:$E,"Fabio")</x:f>
        <x:v>0</x:v>
      </x:c>
      <x:c r="R31" s="198" t="n">
        <x:f>SUMIFS('Attività &amp; Tempi'!$N:$N,'Attività &amp; Tempi'!$A:$A,A31,'Attività &amp; Tempi'!$E:$E,"Frego")</x:f>
        <x:v>0</x:v>
      </x:c>
      <x:c r="S31" s="198" t="n">
        <x:f>SUMIFS('Attività &amp; Tempi'!$N:$N,'Attività &amp; Tempi'!$A:$A,A31,'Attività &amp; Tempi'!$E:$E,"Jessica")</x:f>
        <x:v>0</x:v>
      </x:c>
      <x:c r="T31" s="198" t="n">
        <x:f>Q31*Impostazioni!$B$4+R31*Impostazioni!$B$5+S31*Impostazioni!$B$6</x:f>
        <x:v>0</x:v>
      </x:c>
      <x:c r="U31" s="197"/>
      <x:c r="V31" s="198" t="n">
        <x:f>IF(1-U31=0,"",ROUND((P31+T31)/(1-U31),0))</x:f>
        <x:v>0</x:v>
      </x:c>
      <x:c r="W31" s="198" t="n">
        <x:f>K31-P31</x:f>
        <x:v>0</x:v>
      </x:c>
      <x:c r="X31" s="198" t="n">
        <x:f>IF(K31=0,0,W31/K31)</x:f>
        <x:v>0</x:v>
      </x:c>
      <x:c r="Y31" s="198" t="str">
        <x:f>IF(K31&lt;V31,IF(OR(C31="Strategico / caso studio",C31="Partnership"),"Strategico ma sottoprezzato","Cliente sottoprezzato"),IF(X31&lt;0.3,"Cliente da rinegoziare",IF((Q31+R31+S31)&gt;80,"Cliente troppo pesante","Cliente sano")))</x:f>
        <x:v>Cliente da rinegoziare</x:v>
      </x:c>
      <x:c r="Z31" s="198" t="n">
        <x:f>MAX(W31,0)/2</x:f>
        <x:v>0</x:v>
      </x:c>
      <x:c r="AA31" s="198" t="n">
        <x:f>MAX(W31,0)/2</x:f>
        <x:v>0</x:v>
      </x:c>
      <x:c r="AB31" s="198" t="n">
        <x:f>Z31*Impostazioni!$B$7*Impostazioni!$B$8</x:f>
        <x:v>0</x:v>
      </x:c>
      <x:c r="AC31" s="198" t="n">
        <x:f>MAX(Z31*Impostazioni!$B$7-AB31,0)*Impostazioni!$B$9</x:f>
        <x:v>0</x:v>
      </x:c>
      <x:c r="AD31" s="198" t="n">
        <x:f>Z31-AB31-AC31</x:f>
        <x:v>0</x:v>
      </x:c>
      <x:c r="AE31" s="198" t="n">
        <x:f>IF(Q31=0,0,AD31/Q31)</x:f>
        <x:v>0</x:v>
      </x:c>
      <x:c r="AF31" s="198" t="n">
        <x:f>AA31-(AA31*Impostazioni!$B$7*Impostazioni!$B$8)-MAX(AA31*Impostazioni!$B$7-(AA31*Impostazioni!$B$7*Impostazioni!$B$8),0)*Impostazioni!$B$9</x:f>
        <x:v>0</x:v>
      </x:c>
      <x:c r="AG31" s="198" t="n">
        <x:f>IF(R31=0,0,AF31/R31)</x:f>
        <x:v>0</x:v>
      </x:c>
    </x:row>
    <x:row r="32">
      <x:c r="A32" s="197"/>
      <x:c r="B32" s="197"/>
      <x:c r="C32" s="197"/>
      <x:c r="D32" s="197"/>
      <x:c r="E32" s="197"/>
      <x:c r="F32" s="197"/>
      <x:c r="G32" s="197"/>
      <x:c r="H32" s="197"/>
      <x:c r="I32" s="197"/>
      <x:c r="J32" s="197"/>
      <x:c r="K32" s="198" t="n">
        <x:f>F32+H32+I32+J32</x:f>
        <x:v>0</x:v>
      </x:c>
      <x:c r="L32" s="198" t="n">
        <x:f>SUMIFS('Costi &amp; Tool'!$G:$G,'Costi &amp; Tool'!$C:$C,A32,'Costi &amp; Tool'!$H:$H,"Sì")</x:f>
        <x:v>0</x:v>
      </x:c>
      <x:c r="M32" s="197"/>
      <x:c r="N32" s="197"/>
      <x:c r="O32" s="197"/>
      <x:c r="P32" s="198" t="n">
        <x:f>L32+M32+N32+O32</x:f>
        <x:v>0</x:v>
      </x:c>
      <x:c r="Q32" s="198" t="n">
        <x:f>SUMIFS('Attività &amp; Tempi'!$N:$N,'Attività &amp; Tempi'!$A:$A,A32,'Attività &amp; Tempi'!$E:$E,"Fabio")</x:f>
        <x:v>0</x:v>
      </x:c>
      <x:c r="R32" s="198" t="n">
        <x:f>SUMIFS('Attività &amp; Tempi'!$N:$N,'Attività &amp; Tempi'!$A:$A,A32,'Attività &amp; Tempi'!$E:$E,"Frego")</x:f>
        <x:v>0</x:v>
      </x:c>
      <x:c r="S32" s="198" t="n">
        <x:f>SUMIFS('Attività &amp; Tempi'!$N:$N,'Attività &amp; Tempi'!$A:$A,A32,'Attività &amp; Tempi'!$E:$E,"Jessica")</x:f>
        <x:v>0</x:v>
      </x:c>
      <x:c r="T32" s="198" t="n">
        <x:f>Q32*Impostazioni!$B$4+R32*Impostazioni!$B$5+S32*Impostazioni!$B$6</x:f>
        <x:v>0</x:v>
      </x:c>
      <x:c r="U32" s="197"/>
      <x:c r="V32" s="198" t="n">
        <x:f>IF(1-U32=0,"",ROUND((P32+T32)/(1-U32),0))</x:f>
        <x:v>0</x:v>
      </x:c>
      <x:c r="W32" s="198" t="n">
        <x:f>K32-P32</x:f>
        <x:v>0</x:v>
      </x:c>
      <x:c r="X32" s="198" t="n">
        <x:f>IF(K32=0,0,W32/K32)</x:f>
        <x:v>0</x:v>
      </x:c>
      <x:c r="Y32" s="198" t="str">
        <x:f>IF(K32&lt;V32,IF(OR(C32="Strategico / caso studio",C32="Partnership"),"Strategico ma sottoprezzato","Cliente sottoprezzato"),IF(X32&lt;0.3,"Cliente da rinegoziare",IF((Q32+R32+S32)&gt;80,"Cliente troppo pesante","Cliente sano")))</x:f>
        <x:v>Cliente da rinegoziare</x:v>
      </x:c>
      <x:c r="Z32" s="198" t="n">
        <x:f>MAX(W32,0)/2</x:f>
        <x:v>0</x:v>
      </x:c>
      <x:c r="AA32" s="198" t="n">
        <x:f>MAX(W32,0)/2</x:f>
        <x:v>0</x:v>
      </x:c>
      <x:c r="AB32" s="198" t="n">
        <x:f>Z32*Impostazioni!$B$7*Impostazioni!$B$8</x:f>
        <x:v>0</x:v>
      </x:c>
      <x:c r="AC32" s="198" t="n">
        <x:f>MAX(Z32*Impostazioni!$B$7-AB32,0)*Impostazioni!$B$9</x:f>
        <x:v>0</x:v>
      </x:c>
      <x:c r="AD32" s="198" t="n">
        <x:f>Z32-AB32-AC32</x:f>
        <x:v>0</x:v>
      </x:c>
      <x:c r="AE32" s="198" t="n">
        <x:f>IF(Q32=0,0,AD32/Q32)</x:f>
        <x:v>0</x:v>
      </x:c>
      <x:c r="AF32" s="198" t="n">
        <x:f>AA32-(AA32*Impostazioni!$B$7*Impostazioni!$B$8)-MAX(AA32*Impostazioni!$B$7-(AA32*Impostazioni!$B$7*Impostazioni!$B$8),0)*Impostazioni!$B$9</x:f>
        <x:v>0</x:v>
      </x:c>
      <x:c r="AG32" s="198" t="n">
        <x:f>IF(R32=0,0,AF32/R32)</x:f>
        <x:v>0</x:v>
      </x:c>
    </x:row>
    <x:row r="33">
      <x:c r="A33" s="197"/>
      <x:c r="B33" s="197"/>
      <x:c r="C33" s="197"/>
      <x:c r="D33" s="197"/>
      <x:c r="E33" s="197"/>
      <x:c r="F33" s="197"/>
      <x:c r="G33" s="197"/>
      <x:c r="H33" s="197"/>
      <x:c r="I33" s="197"/>
      <x:c r="J33" s="197"/>
      <x:c r="K33" s="198" t="n">
        <x:f>F33+H33+I33+J33</x:f>
        <x:v>0</x:v>
      </x:c>
      <x:c r="L33" s="198" t="n">
        <x:f>SUMIFS('Costi &amp; Tool'!$G:$G,'Costi &amp; Tool'!$C:$C,A33,'Costi &amp; Tool'!$H:$H,"Sì")</x:f>
        <x:v>0</x:v>
      </x:c>
      <x:c r="M33" s="197"/>
      <x:c r="N33" s="197"/>
      <x:c r="O33" s="197"/>
      <x:c r="P33" s="198" t="n">
        <x:f>L33+M33+N33+O33</x:f>
        <x:v>0</x:v>
      </x:c>
      <x:c r="Q33" s="198" t="n">
        <x:f>SUMIFS('Attività &amp; Tempi'!$N:$N,'Attività &amp; Tempi'!$A:$A,A33,'Attività &amp; Tempi'!$E:$E,"Fabio")</x:f>
        <x:v>0</x:v>
      </x:c>
      <x:c r="R33" s="198" t="n">
        <x:f>SUMIFS('Attività &amp; Tempi'!$N:$N,'Attività &amp; Tempi'!$A:$A,A33,'Attività &amp; Tempi'!$E:$E,"Frego")</x:f>
        <x:v>0</x:v>
      </x:c>
      <x:c r="S33" s="198" t="n">
        <x:f>SUMIFS('Attività &amp; Tempi'!$N:$N,'Attività &amp; Tempi'!$A:$A,A33,'Attività &amp; Tempi'!$E:$E,"Jessica")</x:f>
        <x:v>0</x:v>
      </x:c>
      <x:c r="T33" s="198" t="n">
        <x:f>Q33*Impostazioni!$B$4+R33*Impostazioni!$B$5+S33*Impostazioni!$B$6</x:f>
        <x:v>0</x:v>
      </x:c>
      <x:c r="U33" s="197"/>
      <x:c r="V33" s="198" t="n">
        <x:f>IF(1-U33=0,"",ROUND((P33+T33)/(1-U33),0))</x:f>
        <x:v>0</x:v>
      </x:c>
      <x:c r="W33" s="198" t="n">
        <x:f>K33-P33</x:f>
        <x:v>0</x:v>
      </x:c>
      <x:c r="X33" s="198" t="n">
        <x:f>IF(K33=0,0,W33/K33)</x:f>
        <x:v>0</x:v>
      </x:c>
      <x:c r="Y33" s="198" t="str">
        <x:f>IF(K33&lt;V33,IF(OR(C33="Strategico / caso studio",C33="Partnership"),"Strategico ma sottoprezzato","Cliente sottoprezzato"),IF(X33&lt;0.3,"Cliente da rinegoziare",IF((Q33+R33+S33)&gt;80,"Cliente troppo pesante","Cliente sano")))</x:f>
        <x:v>Cliente da rinegoziare</x:v>
      </x:c>
      <x:c r="Z33" s="198" t="n">
        <x:f>MAX(W33,0)/2</x:f>
        <x:v>0</x:v>
      </x:c>
      <x:c r="AA33" s="198" t="n">
        <x:f>MAX(W33,0)/2</x:f>
        <x:v>0</x:v>
      </x:c>
      <x:c r="AB33" s="198" t="n">
        <x:f>Z33*Impostazioni!$B$7*Impostazioni!$B$8</x:f>
        <x:v>0</x:v>
      </x:c>
      <x:c r="AC33" s="198" t="n">
        <x:f>MAX(Z33*Impostazioni!$B$7-AB33,0)*Impostazioni!$B$9</x:f>
        <x:v>0</x:v>
      </x:c>
      <x:c r="AD33" s="198" t="n">
        <x:f>Z33-AB33-AC33</x:f>
        <x:v>0</x:v>
      </x:c>
      <x:c r="AE33" s="198" t="n">
        <x:f>IF(Q33=0,0,AD33/Q33)</x:f>
        <x:v>0</x:v>
      </x:c>
      <x:c r="AF33" s="198" t="n">
        <x:f>AA33-(AA33*Impostazioni!$B$7*Impostazioni!$B$8)-MAX(AA33*Impostazioni!$B$7-(AA33*Impostazioni!$B$7*Impostazioni!$B$8),0)*Impostazioni!$B$9</x:f>
        <x:v>0</x:v>
      </x:c>
      <x:c r="AG33" s="198" t="n">
        <x:f>IF(R33=0,0,AF33/R33)</x:f>
        <x:v>0</x:v>
      </x:c>
    </x:row>
    <x:row r="34">
      <x:c r="A34" s="197"/>
      <x:c r="B34" s="197"/>
      <x:c r="C34" s="197"/>
      <x:c r="D34" s="197"/>
      <x:c r="E34" s="197"/>
      <x:c r="F34" s="197"/>
      <x:c r="G34" s="197"/>
      <x:c r="H34" s="197"/>
      <x:c r="I34" s="197"/>
      <x:c r="J34" s="197"/>
      <x:c r="K34" s="198" t="n">
        <x:f>F34+H34+I34+J34</x:f>
        <x:v>0</x:v>
      </x:c>
      <x:c r="L34" s="198" t="n">
        <x:f>SUMIFS('Costi &amp; Tool'!$G:$G,'Costi &amp; Tool'!$C:$C,A34,'Costi &amp; Tool'!$H:$H,"Sì")</x:f>
        <x:v>0</x:v>
      </x:c>
      <x:c r="M34" s="197"/>
      <x:c r="N34" s="197"/>
      <x:c r="O34" s="197"/>
      <x:c r="P34" s="198" t="n">
        <x:f>L34+M34+N34+O34</x:f>
        <x:v>0</x:v>
      </x:c>
      <x:c r="Q34" s="198" t="n">
        <x:f>SUMIFS('Attività &amp; Tempi'!$N:$N,'Attività &amp; Tempi'!$A:$A,A34,'Attività &amp; Tempi'!$E:$E,"Fabio")</x:f>
        <x:v>0</x:v>
      </x:c>
      <x:c r="R34" s="198" t="n">
        <x:f>SUMIFS('Attività &amp; Tempi'!$N:$N,'Attività &amp; Tempi'!$A:$A,A34,'Attività &amp; Tempi'!$E:$E,"Frego")</x:f>
        <x:v>0</x:v>
      </x:c>
      <x:c r="S34" s="198" t="n">
        <x:f>SUMIFS('Attività &amp; Tempi'!$N:$N,'Attività &amp; Tempi'!$A:$A,A34,'Attività &amp; Tempi'!$E:$E,"Jessica")</x:f>
        <x:v>0</x:v>
      </x:c>
      <x:c r="T34" s="198" t="n">
        <x:f>Q34*Impostazioni!$B$4+R34*Impostazioni!$B$5+S34*Impostazioni!$B$6</x:f>
        <x:v>0</x:v>
      </x:c>
      <x:c r="U34" s="197"/>
      <x:c r="V34" s="198" t="n">
        <x:f>IF(1-U34=0,"",ROUND((P34+T34)/(1-U34),0))</x:f>
        <x:v>0</x:v>
      </x:c>
      <x:c r="W34" s="198" t="n">
        <x:f>K34-P34</x:f>
        <x:v>0</x:v>
      </x:c>
      <x:c r="X34" s="198" t="n">
        <x:f>IF(K34=0,0,W34/K34)</x:f>
        <x:v>0</x:v>
      </x:c>
      <x:c r="Y34" s="198" t="str">
        <x:f>IF(K34&lt;V34,IF(OR(C34="Strategico / caso studio",C34="Partnership"),"Strategico ma sottoprezzato","Cliente sottoprezzato"),IF(X34&lt;0.3,"Cliente da rinegoziare",IF((Q34+R34+S34)&gt;80,"Cliente troppo pesante","Cliente sano")))</x:f>
        <x:v>Cliente da rinegoziare</x:v>
      </x:c>
      <x:c r="Z34" s="198" t="n">
        <x:f>MAX(W34,0)/2</x:f>
        <x:v>0</x:v>
      </x:c>
      <x:c r="AA34" s="198" t="n">
        <x:f>MAX(W34,0)/2</x:f>
        <x:v>0</x:v>
      </x:c>
      <x:c r="AB34" s="198" t="n">
        <x:f>Z34*Impostazioni!$B$7*Impostazioni!$B$8</x:f>
        <x:v>0</x:v>
      </x:c>
      <x:c r="AC34" s="198" t="n">
        <x:f>MAX(Z34*Impostazioni!$B$7-AB34,0)*Impostazioni!$B$9</x:f>
        <x:v>0</x:v>
      </x:c>
      <x:c r="AD34" s="198" t="n">
        <x:f>Z34-AB34-AC34</x:f>
        <x:v>0</x:v>
      </x:c>
      <x:c r="AE34" s="198" t="n">
        <x:f>IF(Q34=0,0,AD34/Q34)</x:f>
        <x:v>0</x:v>
      </x:c>
      <x:c r="AF34" s="198" t="n">
        <x:f>AA34-(AA34*Impostazioni!$B$7*Impostazioni!$B$8)-MAX(AA34*Impostazioni!$B$7-(AA34*Impostazioni!$B$7*Impostazioni!$B$8),0)*Impostazioni!$B$9</x:f>
        <x:v>0</x:v>
      </x:c>
      <x:c r="AG34" s="198" t="n">
        <x:f>IF(R34=0,0,AF34/R34)</x:f>
        <x:v>0</x:v>
      </x:c>
    </x:row>
    <x:row r="35">
      <x:c r="A35" s="197"/>
      <x:c r="B35" s="197"/>
      <x:c r="C35" s="197"/>
      <x:c r="D35" s="197"/>
      <x:c r="E35" s="197"/>
      <x:c r="F35" s="197"/>
      <x:c r="G35" s="197"/>
      <x:c r="H35" s="197"/>
      <x:c r="I35" s="197"/>
      <x:c r="J35" s="197"/>
      <x:c r="K35" s="198" t="n">
        <x:f>F35+H35+I35+J35</x:f>
        <x:v>0</x:v>
      </x:c>
      <x:c r="L35" s="198" t="n">
        <x:f>SUMIFS('Costi &amp; Tool'!$G:$G,'Costi &amp; Tool'!$C:$C,A35,'Costi &amp; Tool'!$H:$H,"Sì")</x:f>
        <x:v>0</x:v>
      </x:c>
      <x:c r="M35" s="197"/>
      <x:c r="N35" s="197"/>
      <x:c r="O35" s="197"/>
      <x:c r="P35" s="198" t="n">
        <x:f>L35+M35+N35+O35</x:f>
        <x:v>0</x:v>
      </x:c>
      <x:c r="Q35" s="198" t="n">
        <x:f>SUMIFS('Attività &amp; Tempi'!$N:$N,'Attività &amp; Tempi'!$A:$A,A35,'Attività &amp; Tempi'!$E:$E,"Fabio")</x:f>
        <x:v>0</x:v>
      </x:c>
      <x:c r="R35" s="198" t="n">
        <x:f>SUMIFS('Attività &amp; Tempi'!$N:$N,'Attività &amp; Tempi'!$A:$A,A35,'Attività &amp; Tempi'!$E:$E,"Frego")</x:f>
        <x:v>0</x:v>
      </x:c>
      <x:c r="S35" s="198" t="n">
        <x:f>SUMIFS('Attività &amp; Tempi'!$N:$N,'Attività &amp; Tempi'!$A:$A,A35,'Attività &amp; Tempi'!$E:$E,"Jessica")</x:f>
        <x:v>0</x:v>
      </x:c>
      <x:c r="T35" s="198" t="n">
        <x:f>Q35*Impostazioni!$B$4+R35*Impostazioni!$B$5+S35*Impostazioni!$B$6</x:f>
        <x:v>0</x:v>
      </x:c>
      <x:c r="U35" s="197"/>
      <x:c r="V35" s="198" t="n">
        <x:f>IF(1-U35=0,"",ROUND((P35+T35)/(1-U35),0))</x:f>
        <x:v>0</x:v>
      </x:c>
      <x:c r="W35" s="198" t="n">
        <x:f>K35-P35</x:f>
        <x:v>0</x:v>
      </x:c>
      <x:c r="X35" s="198" t="n">
        <x:f>IF(K35=0,0,W35/K35)</x:f>
        <x:v>0</x:v>
      </x:c>
      <x:c r="Y35" s="198" t="str">
        <x:f>IF(K35&lt;V35,IF(OR(C35="Strategico / caso studio",C35="Partnership"),"Strategico ma sottoprezzato","Cliente sottoprezzato"),IF(X35&lt;0.3,"Cliente da rinegoziare",IF((Q35+R35+S35)&gt;80,"Cliente troppo pesante","Cliente sano")))</x:f>
        <x:v>Cliente da rinegoziare</x:v>
      </x:c>
      <x:c r="Z35" s="198" t="n">
        <x:f>MAX(W35,0)/2</x:f>
        <x:v>0</x:v>
      </x:c>
      <x:c r="AA35" s="198" t="n">
        <x:f>MAX(W35,0)/2</x:f>
        <x:v>0</x:v>
      </x:c>
      <x:c r="AB35" s="198" t="n">
        <x:f>Z35*Impostazioni!$B$7*Impostazioni!$B$8</x:f>
        <x:v>0</x:v>
      </x:c>
      <x:c r="AC35" s="198" t="n">
        <x:f>MAX(Z35*Impostazioni!$B$7-AB35,0)*Impostazioni!$B$9</x:f>
        <x:v>0</x:v>
      </x:c>
      <x:c r="AD35" s="198" t="n">
        <x:f>Z35-AB35-AC35</x:f>
        <x:v>0</x:v>
      </x:c>
      <x:c r="AE35" s="198" t="n">
        <x:f>IF(Q35=0,0,AD35/Q35)</x:f>
        <x:v>0</x:v>
      </x:c>
      <x:c r="AF35" s="198" t="n">
        <x:f>AA35-(AA35*Impostazioni!$B$7*Impostazioni!$B$8)-MAX(AA35*Impostazioni!$B$7-(AA35*Impostazioni!$B$7*Impostazioni!$B$8),0)*Impostazioni!$B$9</x:f>
        <x:v>0</x:v>
      </x:c>
      <x:c r="AG35" s="198" t="n">
        <x:f>IF(R35=0,0,AF35/R35)</x:f>
        <x:v>0</x:v>
      </x:c>
    </x:row>
    <x:row r="36">
      <x:c r="A36" s="197"/>
      <x:c r="B36" s="197"/>
      <x:c r="C36" s="197"/>
      <x:c r="D36" s="197"/>
      <x:c r="E36" s="197"/>
      <x:c r="F36" s="197"/>
      <x:c r="G36" s="197"/>
      <x:c r="H36" s="197"/>
      <x:c r="I36" s="197"/>
      <x:c r="J36" s="197"/>
      <x:c r="K36" s="198" t="n">
        <x:f>F36+H36+I36+J36</x:f>
        <x:v>0</x:v>
      </x:c>
      <x:c r="L36" s="198" t="n">
        <x:f>SUMIFS('Costi &amp; Tool'!$G:$G,'Costi &amp; Tool'!$C:$C,A36,'Costi &amp; Tool'!$H:$H,"Sì")</x:f>
        <x:v>0</x:v>
      </x:c>
      <x:c r="M36" s="197"/>
      <x:c r="N36" s="197"/>
      <x:c r="O36" s="197"/>
      <x:c r="P36" s="198" t="n">
        <x:f>L36+M36+N36+O36</x:f>
        <x:v>0</x:v>
      </x:c>
      <x:c r="Q36" s="198" t="n">
        <x:f>SUMIFS('Attività &amp; Tempi'!$N:$N,'Attività &amp; Tempi'!$A:$A,A36,'Attività &amp; Tempi'!$E:$E,"Fabio")</x:f>
        <x:v>0</x:v>
      </x:c>
      <x:c r="R36" s="198" t="n">
        <x:f>SUMIFS('Attività &amp; Tempi'!$N:$N,'Attività &amp; Tempi'!$A:$A,A36,'Attività &amp; Tempi'!$E:$E,"Frego")</x:f>
        <x:v>0</x:v>
      </x:c>
      <x:c r="S36" s="198" t="n">
        <x:f>SUMIFS('Attività &amp; Tempi'!$N:$N,'Attività &amp; Tempi'!$A:$A,A36,'Attività &amp; Tempi'!$E:$E,"Jessica")</x:f>
        <x:v>0</x:v>
      </x:c>
      <x:c r="T36" s="198" t="n">
        <x:f>Q36*Impostazioni!$B$4+R36*Impostazioni!$B$5+S36*Impostazioni!$B$6</x:f>
        <x:v>0</x:v>
      </x:c>
      <x:c r="U36" s="197"/>
      <x:c r="V36" s="198" t="n">
        <x:f>IF(1-U36=0,"",ROUND((P36+T36)/(1-U36),0))</x:f>
        <x:v>0</x:v>
      </x:c>
      <x:c r="W36" s="198" t="n">
        <x:f>K36-P36</x:f>
        <x:v>0</x:v>
      </x:c>
      <x:c r="X36" s="198" t="n">
        <x:f>IF(K36=0,0,W36/K36)</x:f>
        <x:v>0</x:v>
      </x:c>
      <x:c r="Y36" s="198" t="str">
        <x:f>IF(K36&lt;V36,IF(OR(C36="Strategico / caso studio",C36="Partnership"),"Strategico ma sottoprezzato","Cliente sottoprezzato"),IF(X36&lt;0.3,"Cliente da rinegoziare",IF((Q36+R36+S36)&gt;80,"Cliente troppo pesante","Cliente sano")))</x:f>
        <x:v>Cliente da rinegoziare</x:v>
      </x:c>
      <x:c r="Z36" s="198" t="n">
        <x:f>MAX(W36,0)/2</x:f>
        <x:v>0</x:v>
      </x:c>
      <x:c r="AA36" s="198" t="n">
        <x:f>MAX(W36,0)/2</x:f>
        <x:v>0</x:v>
      </x:c>
      <x:c r="AB36" s="198" t="n">
        <x:f>Z36*Impostazioni!$B$7*Impostazioni!$B$8</x:f>
        <x:v>0</x:v>
      </x:c>
      <x:c r="AC36" s="198" t="n">
        <x:f>MAX(Z36*Impostazioni!$B$7-AB36,0)*Impostazioni!$B$9</x:f>
        <x:v>0</x:v>
      </x:c>
      <x:c r="AD36" s="198" t="n">
        <x:f>Z36-AB36-AC36</x:f>
        <x:v>0</x:v>
      </x:c>
      <x:c r="AE36" s="198" t="n">
        <x:f>IF(Q36=0,0,AD36/Q36)</x:f>
        <x:v>0</x:v>
      </x:c>
      <x:c r="AF36" s="198" t="n">
        <x:f>AA36-(AA36*Impostazioni!$B$7*Impostazioni!$B$8)-MAX(AA36*Impostazioni!$B$7-(AA36*Impostazioni!$B$7*Impostazioni!$B$8),0)*Impostazioni!$B$9</x:f>
        <x:v>0</x:v>
      </x:c>
      <x:c r="AG36" s="198" t="n">
        <x:f>IF(R36=0,0,AF36/R36)</x:f>
        <x:v>0</x:v>
      </x:c>
    </x:row>
    <x:row r="37">
      <x:c r="A37" s="197"/>
      <x:c r="B37" s="197"/>
      <x:c r="C37" s="197"/>
      <x:c r="D37" s="197"/>
      <x:c r="E37" s="197"/>
      <x:c r="F37" s="197"/>
      <x:c r="G37" s="197"/>
      <x:c r="H37" s="197"/>
      <x:c r="I37" s="197"/>
      <x:c r="J37" s="197"/>
      <x:c r="K37" s="198" t="n">
        <x:f>F37+H37+I37+J37</x:f>
        <x:v>0</x:v>
      </x:c>
      <x:c r="L37" s="198" t="n">
        <x:f>SUMIFS('Costi &amp; Tool'!$G:$G,'Costi &amp; Tool'!$C:$C,A37,'Costi &amp; Tool'!$H:$H,"Sì")</x:f>
        <x:v>0</x:v>
      </x:c>
      <x:c r="M37" s="197"/>
      <x:c r="N37" s="197"/>
      <x:c r="O37" s="197"/>
      <x:c r="P37" s="198" t="n">
        <x:f>L37+M37+N37+O37</x:f>
        <x:v>0</x:v>
      </x:c>
      <x:c r="Q37" s="198" t="n">
        <x:f>SUMIFS('Attività &amp; Tempi'!$N:$N,'Attività &amp; Tempi'!$A:$A,A37,'Attività &amp; Tempi'!$E:$E,"Fabio")</x:f>
        <x:v>0</x:v>
      </x:c>
      <x:c r="R37" s="198" t="n">
        <x:f>SUMIFS('Attività &amp; Tempi'!$N:$N,'Attività &amp; Tempi'!$A:$A,A37,'Attività &amp; Tempi'!$E:$E,"Frego")</x:f>
        <x:v>0</x:v>
      </x:c>
      <x:c r="S37" s="198" t="n">
        <x:f>SUMIFS('Attività &amp; Tempi'!$N:$N,'Attività &amp; Tempi'!$A:$A,A37,'Attività &amp; Tempi'!$E:$E,"Jessica")</x:f>
        <x:v>0</x:v>
      </x:c>
      <x:c r="T37" s="198" t="n">
        <x:f>Q37*Impostazioni!$B$4+R37*Impostazioni!$B$5+S37*Impostazioni!$B$6</x:f>
        <x:v>0</x:v>
      </x:c>
      <x:c r="U37" s="197"/>
      <x:c r="V37" s="198" t="n">
        <x:f>IF(1-U37=0,"",ROUND((P37+T37)/(1-U37),0))</x:f>
        <x:v>0</x:v>
      </x:c>
      <x:c r="W37" s="198" t="n">
        <x:f>K37-P37</x:f>
        <x:v>0</x:v>
      </x:c>
      <x:c r="X37" s="198" t="n">
        <x:f>IF(K37=0,0,W37/K37)</x:f>
        <x:v>0</x:v>
      </x:c>
      <x:c r="Y37" s="198" t="str">
        <x:f>IF(K37&lt;V37,IF(OR(C37="Strategico / caso studio",C37="Partnership"),"Strategico ma sottoprezzato","Cliente sottoprezzato"),IF(X37&lt;0.3,"Cliente da rinegoziare",IF((Q37+R37+S37)&gt;80,"Cliente troppo pesante","Cliente sano")))</x:f>
        <x:v>Cliente da rinegoziare</x:v>
      </x:c>
      <x:c r="Z37" s="198" t="n">
        <x:f>MAX(W37,0)/2</x:f>
        <x:v>0</x:v>
      </x:c>
      <x:c r="AA37" s="198" t="n">
        <x:f>MAX(W37,0)/2</x:f>
        <x:v>0</x:v>
      </x:c>
      <x:c r="AB37" s="198" t="n">
        <x:f>Z37*Impostazioni!$B$7*Impostazioni!$B$8</x:f>
        <x:v>0</x:v>
      </x:c>
      <x:c r="AC37" s="198" t="n">
        <x:f>MAX(Z37*Impostazioni!$B$7-AB37,0)*Impostazioni!$B$9</x:f>
        <x:v>0</x:v>
      </x:c>
      <x:c r="AD37" s="198" t="n">
        <x:f>Z37-AB37-AC37</x:f>
        <x:v>0</x:v>
      </x:c>
      <x:c r="AE37" s="198" t="n">
        <x:f>IF(Q37=0,0,AD37/Q37)</x:f>
        <x:v>0</x:v>
      </x:c>
      <x:c r="AF37" s="198" t="n">
        <x:f>AA37-(AA37*Impostazioni!$B$7*Impostazioni!$B$8)-MAX(AA37*Impostazioni!$B$7-(AA37*Impostazioni!$B$7*Impostazioni!$B$8),0)*Impostazioni!$B$9</x:f>
        <x:v>0</x:v>
      </x:c>
      <x:c r="AG37" s="198" t="n">
        <x:f>IF(R37=0,0,AF37/R37)</x:f>
        <x:v>0</x:v>
      </x:c>
    </x:row>
    <x:row r="38">
      <x:c r="A38" s="197"/>
      <x:c r="B38" s="197"/>
      <x:c r="C38" s="197"/>
      <x:c r="D38" s="197"/>
      <x:c r="E38" s="197"/>
      <x:c r="F38" s="197"/>
      <x:c r="G38" s="197"/>
      <x:c r="H38" s="197"/>
      <x:c r="I38" s="197"/>
      <x:c r="J38" s="197"/>
      <x:c r="K38" s="198" t="n">
        <x:f>F38+H38+I38+J38</x:f>
        <x:v>0</x:v>
      </x:c>
      <x:c r="L38" s="198" t="n">
        <x:f>SUMIFS('Costi &amp; Tool'!$G:$G,'Costi &amp; Tool'!$C:$C,A38,'Costi &amp; Tool'!$H:$H,"Sì")</x:f>
        <x:v>0</x:v>
      </x:c>
      <x:c r="M38" s="197"/>
      <x:c r="N38" s="197"/>
      <x:c r="O38" s="197"/>
      <x:c r="P38" s="198" t="n">
        <x:f>L38+M38+N38+O38</x:f>
        <x:v>0</x:v>
      </x:c>
      <x:c r="Q38" s="198" t="n">
        <x:f>SUMIFS('Attività &amp; Tempi'!$N:$N,'Attività &amp; Tempi'!$A:$A,A38,'Attività &amp; Tempi'!$E:$E,"Fabio")</x:f>
        <x:v>0</x:v>
      </x:c>
      <x:c r="R38" s="198" t="n">
        <x:f>SUMIFS('Attività &amp; Tempi'!$N:$N,'Attività &amp; Tempi'!$A:$A,A38,'Attività &amp; Tempi'!$E:$E,"Frego")</x:f>
        <x:v>0</x:v>
      </x:c>
      <x:c r="S38" s="198" t="n">
        <x:f>SUMIFS('Attività &amp; Tempi'!$N:$N,'Attività &amp; Tempi'!$A:$A,A38,'Attività &amp; Tempi'!$E:$E,"Jessica")</x:f>
        <x:v>0</x:v>
      </x:c>
      <x:c r="T38" s="198" t="n">
        <x:f>Q38*Impostazioni!$B$4+R38*Impostazioni!$B$5+S38*Impostazioni!$B$6</x:f>
        <x:v>0</x:v>
      </x:c>
      <x:c r="U38" s="197"/>
      <x:c r="V38" s="198" t="n">
        <x:f>IF(1-U38=0,"",ROUND((P38+T38)/(1-U38),0))</x:f>
        <x:v>0</x:v>
      </x:c>
      <x:c r="W38" s="198" t="n">
        <x:f>K38-P38</x:f>
        <x:v>0</x:v>
      </x:c>
      <x:c r="X38" s="198" t="n">
        <x:f>IF(K38=0,0,W38/K38)</x:f>
        <x:v>0</x:v>
      </x:c>
      <x:c r="Y38" s="198" t="str">
        <x:f>IF(K38&lt;V38,IF(OR(C38="Strategico / caso studio",C38="Partnership"),"Strategico ma sottoprezzato","Cliente sottoprezzato"),IF(X38&lt;0.3,"Cliente da rinegoziare",IF((Q38+R38+S38)&gt;80,"Cliente troppo pesante","Cliente sano")))</x:f>
        <x:v>Cliente da rinegoziare</x:v>
      </x:c>
      <x:c r="Z38" s="198" t="n">
        <x:f>MAX(W38,0)/2</x:f>
        <x:v>0</x:v>
      </x:c>
      <x:c r="AA38" s="198" t="n">
        <x:f>MAX(W38,0)/2</x:f>
        <x:v>0</x:v>
      </x:c>
      <x:c r="AB38" s="198" t="n">
        <x:f>Z38*Impostazioni!$B$7*Impostazioni!$B$8</x:f>
        <x:v>0</x:v>
      </x:c>
      <x:c r="AC38" s="198" t="n">
        <x:f>MAX(Z38*Impostazioni!$B$7-AB38,0)*Impostazioni!$B$9</x:f>
        <x:v>0</x:v>
      </x:c>
      <x:c r="AD38" s="198" t="n">
        <x:f>Z38-AB38-AC38</x:f>
        <x:v>0</x:v>
      </x:c>
      <x:c r="AE38" s="198" t="n">
        <x:f>IF(Q38=0,0,AD38/Q38)</x:f>
        <x:v>0</x:v>
      </x:c>
      <x:c r="AF38" s="198" t="n">
        <x:f>AA38-(AA38*Impostazioni!$B$7*Impostazioni!$B$8)-MAX(AA38*Impostazioni!$B$7-(AA38*Impostazioni!$B$7*Impostazioni!$B$8),0)*Impostazioni!$B$9</x:f>
        <x:v>0</x:v>
      </x:c>
      <x:c r="AG38" s="198" t="n">
        <x:f>IF(R38=0,0,AF38/R38)</x:f>
        <x:v>0</x:v>
      </x:c>
    </x:row>
    <x:row r="39">
      <x:c r="A39" s="197"/>
      <x:c r="B39" s="197"/>
      <x:c r="C39" s="197"/>
      <x:c r="D39" s="197"/>
      <x:c r="E39" s="197"/>
      <x:c r="F39" s="197"/>
      <x:c r="G39" s="197"/>
      <x:c r="H39" s="197"/>
      <x:c r="I39" s="197"/>
      <x:c r="J39" s="197"/>
      <x:c r="K39" s="198" t="n">
        <x:f>F39+H39+I39+J39</x:f>
        <x:v>0</x:v>
      </x:c>
      <x:c r="L39" s="198" t="n">
        <x:f>SUMIFS('Costi &amp; Tool'!$G:$G,'Costi &amp; Tool'!$C:$C,A39,'Costi &amp; Tool'!$H:$H,"Sì")</x:f>
        <x:v>0</x:v>
      </x:c>
      <x:c r="M39" s="197"/>
      <x:c r="N39" s="197"/>
      <x:c r="O39" s="197"/>
      <x:c r="P39" s="198" t="n">
        <x:f>L39+M39+N39+O39</x:f>
        <x:v>0</x:v>
      </x:c>
      <x:c r="Q39" s="198" t="n">
        <x:f>SUMIFS('Attività &amp; Tempi'!$N:$N,'Attività &amp; Tempi'!$A:$A,A39,'Attività &amp; Tempi'!$E:$E,"Fabio")</x:f>
        <x:v>0</x:v>
      </x:c>
      <x:c r="R39" s="198" t="n">
        <x:f>SUMIFS('Attività &amp; Tempi'!$N:$N,'Attività &amp; Tempi'!$A:$A,A39,'Attività &amp; Tempi'!$E:$E,"Frego")</x:f>
        <x:v>0</x:v>
      </x:c>
      <x:c r="S39" s="198" t="n">
        <x:f>SUMIFS('Attività &amp; Tempi'!$N:$N,'Attività &amp; Tempi'!$A:$A,A39,'Attività &amp; Tempi'!$E:$E,"Jessica")</x:f>
        <x:v>0</x:v>
      </x:c>
      <x:c r="T39" s="198" t="n">
        <x:f>Q39*Impostazioni!$B$4+R39*Impostazioni!$B$5+S39*Impostazioni!$B$6</x:f>
        <x:v>0</x:v>
      </x:c>
      <x:c r="U39" s="197"/>
      <x:c r="V39" s="198" t="n">
        <x:f>IF(1-U39=0,"",ROUND((P39+T39)/(1-U39),0))</x:f>
        <x:v>0</x:v>
      </x:c>
      <x:c r="W39" s="198" t="n">
        <x:f>K39-P39</x:f>
        <x:v>0</x:v>
      </x:c>
      <x:c r="X39" s="198" t="n">
        <x:f>IF(K39=0,0,W39/K39)</x:f>
        <x:v>0</x:v>
      </x:c>
      <x:c r="Y39" s="198" t="str">
        <x:f>IF(K39&lt;V39,IF(OR(C39="Strategico / caso studio",C39="Partnership"),"Strategico ma sottoprezzato","Cliente sottoprezzato"),IF(X39&lt;0.3,"Cliente da rinegoziare",IF((Q39+R39+S39)&gt;80,"Cliente troppo pesante","Cliente sano")))</x:f>
        <x:v>Cliente da rinegoziare</x:v>
      </x:c>
      <x:c r="Z39" s="198" t="n">
        <x:f>MAX(W39,0)/2</x:f>
        <x:v>0</x:v>
      </x:c>
      <x:c r="AA39" s="198" t="n">
        <x:f>MAX(W39,0)/2</x:f>
        <x:v>0</x:v>
      </x:c>
      <x:c r="AB39" s="198" t="n">
        <x:f>Z39*Impostazioni!$B$7*Impostazioni!$B$8</x:f>
        <x:v>0</x:v>
      </x:c>
      <x:c r="AC39" s="198" t="n">
        <x:f>MAX(Z39*Impostazioni!$B$7-AB39,0)*Impostazioni!$B$9</x:f>
        <x:v>0</x:v>
      </x:c>
      <x:c r="AD39" s="198" t="n">
        <x:f>Z39-AB39-AC39</x:f>
        <x:v>0</x:v>
      </x:c>
      <x:c r="AE39" s="198" t="n">
        <x:f>IF(Q39=0,0,AD39/Q39)</x:f>
        <x:v>0</x:v>
      </x:c>
      <x:c r="AF39" s="198" t="n">
        <x:f>AA39-(AA39*Impostazioni!$B$7*Impostazioni!$B$8)-MAX(AA39*Impostazioni!$B$7-(AA39*Impostazioni!$B$7*Impostazioni!$B$8),0)*Impostazioni!$B$9</x:f>
        <x:v>0</x:v>
      </x:c>
      <x:c r="AG39" s="198" t="n">
        <x:f>IF(R39=0,0,AF39/R39)</x:f>
        <x:v>0</x:v>
      </x:c>
    </x:row>
    <x:row r="40">
      <x:c r="A40" s="197"/>
      <x:c r="B40" s="197"/>
      <x:c r="C40" s="197"/>
      <x:c r="D40" s="197"/>
      <x:c r="E40" s="197"/>
      <x:c r="F40" s="197"/>
      <x:c r="G40" s="197"/>
      <x:c r="H40" s="197"/>
      <x:c r="I40" s="197"/>
      <x:c r="J40" s="197"/>
      <x:c r="K40" s="198" t="n">
        <x:f>F40+H40+I40+J40</x:f>
        <x:v>0</x:v>
      </x:c>
      <x:c r="L40" s="198" t="n">
        <x:f>SUMIFS('Costi &amp; Tool'!$G:$G,'Costi &amp; Tool'!$C:$C,A40,'Costi &amp; Tool'!$H:$H,"Sì")</x:f>
        <x:v>0</x:v>
      </x:c>
      <x:c r="M40" s="197"/>
      <x:c r="N40" s="197"/>
      <x:c r="O40" s="197"/>
      <x:c r="P40" s="198" t="n">
        <x:f>L40+M40+N40+O40</x:f>
        <x:v>0</x:v>
      </x:c>
      <x:c r="Q40" s="198" t="n">
        <x:f>SUMIFS('Attività &amp; Tempi'!$N:$N,'Attività &amp; Tempi'!$A:$A,A40,'Attività &amp; Tempi'!$E:$E,"Fabio")</x:f>
        <x:v>0</x:v>
      </x:c>
      <x:c r="R40" s="198" t="n">
        <x:f>SUMIFS('Attività &amp; Tempi'!$N:$N,'Attività &amp; Tempi'!$A:$A,A40,'Attività &amp; Tempi'!$E:$E,"Frego")</x:f>
        <x:v>0</x:v>
      </x:c>
      <x:c r="S40" s="198" t="n">
        <x:f>SUMIFS('Attività &amp; Tempi'!$N:$N,'Attività &amp; Tempi'!$A:$A,A40,'Attività &amp; Tempi'!$E:$E,"Jessica")</x:f>
        <x:v>0</x:v>
      </x:c>
      <x:c r="T40" s="198" t="n">
        <x:f>Q40*Impostazioni!$B$4+R40*Impostazioni!$B$5+S40*Impostazioni!$B$6</x:f>
        <x:v>0</x:v>
      </x:c>
      <x:c r="U40" s="197"/>
      <x:c r="V40" s="198" t="n">
        <x:f>IF(1-U40=0,"",ROUND((P40+T40)/(1-U40),0))</x:f>
        <x:v>0</x:v>
      </x:c>
      <x:c r="W40" s="198" t="n">
        <x:f>K40-P40</x:f>
        <x:v>0</x:v>
      </x:c>
      <x:c r="X40" s="198" t="n">
        <x:f>IF(K40=0,0,W40/K40)</x:f>
        <x:v>0</x:v>
      </x:c>
      <x:c r="Y40" s="198" t="str">
        <x:f>IF(K40&lt;V40,IF(OR(C40="Strategico / caso studio",C40="Partnership"),"Strategico ma sottoprezzato","Cliente sottoprezzato"),IF(X40&lt;0.3,"Cliente da rinegoziare",IF((Q40+R40+S40)&gt;80,"Cliente troppo pesante","Cliente sano")))</x:f>
        <x:v>Cliente da rinegoziare</x:v>
      </x:c>
      <x:c r="Z40" s="198" t="n">
        <x:f>MAX(W40,0)/2</x:f>
        <x:v>0</x:v>
      </x:c>
      <x:c r="AA40" s="198" t="n">
        <x:f>MAX(W40,0)/2</x:f>
        <x:v>0</x:v>
      </x:c>
      <x:c r="AB40" s="198" t="n">
        <x:f>Z40*Impostazioni!$B$7*Impostazioni!$B$8</x:f>
        <x:v>0</x:v>
      </x:c>
      <x:c r="AC40" s="198" t="n">
        <x:f>MAX(Z40*Impostazioni!$B$7-AB40,0)*Impostazioni!$B$9</x:f>
        <x:v>0</x:v>
      </x:c>
      <x:c r="AD40" s="198" t="n">
        <x:f>Z40-AB40-AC40</x:f>
        <x:v>0</x:v>
      </x:c>
      <x:c r="AE40" s="198" t="n">
        <x:f>IF(Q40=0,0,AD40/Q40)</x:f>
        <x:v>0</x:v>
      </x:c>
      <x:c r="AF40" s="198" t="n">
        <x:f>AA40-(AA40*Impostazioni!$B$7*Impostazioni!$B$8)-MAX(AA40*Impostazioni!$B$7-(AA40*Impostazioni!$B$7*Impostazioni!$B$8),0)*Impostazioni!$B$9</x:f>
        <x:v>0</x:v>
      </x:c>
      <x:c r="AG40" s="198" t="n">
        <x:f>IF(R40=0,0,AF40/R40)</x:f>
        <x:v>0</x:v>
      </x:c>
    </x:row>
    <x:row r="41">
      <x:c r="A41" s="197"/>
      <x:c r="B41" s="197"/>
      <x:c r="C41" s="197"/>
      <x:c r="D41" s="197"/>
      <x:c r="E41" s="197"/>
      <x:c r="F41" s="197"/>
      <x:c r="G41" s="197"/>
      <x:c r="H41" s="197"/>
      <x:c r="I41" s="197"/>
      <x:c r="J41" s="197"/>
      <x:c r="K41" s="198" t="n">
        <x:f>F41+H41+I41+J41</x:f>
        <x:v>0</x:v>
      </x:c>
      <x:c r="L41" s="198" t="n">
        <x:f>SUMIFS('Costi &amp; Tool'!$G:$G,'Costi &amp; Tool'!$C:$C,A41,'Costi &amp; Tool'!$H:$H,"Sì")</x:f>
        <x:v>0</x:v>
      </x:c>
      <x:c r="M41" s="197"/>
      <x:c r="N41" s="197"/>
      <x:c r="O41" s="197"/>
      <x:c r="P41" s="198" t="n">
        <x:f>L41+M41+N41+O41</x:f>
        <x:v>0</x:v>
      </x:c>
      <x:c r="Q41" s="198" t="n">
        <x:f>SUMIFS('Attività &amp; Tempi'!$N:$N,'Attività &amp; Tempi'!$A:$A,A41,'Attività &amp; Tempi'!$E:$E,"Fabio")</x:f>
        <x:v>0</x:v>
      </x:c>
      <x:c r="R41" s="198" t="n">
        <x:f>SUMIFS('Attività &amp; Tempi'!$N:$N,'Attività &amp; Tempi'!$A:$A,A41,'Attività &amp; Tempi'!$E:$E,"Frego")</x:f>
        <x:v>0</x:v>
      </x:c>
      <x:c r="S41" s="198" t="n">
        <x:f>SUMIFS('Attività &amp; Tempi'!$N:$N,'Attività &amp; Tempi'!$A:$A,A41,'Attività &amp; Tempi'!$E:$E,"Jessica")</x:f>
        <x:v>0</x:v>
      </x:c>
      <x:c r="T41" s="198" t="n">
        <x:f>Q41*Impostazioni!$B$4+R41*Impostazioni!$B$5+S41*Impostazioni!$B$6</x:f>
        <x:v>0</x:v>
      </x:c>
      <x:c r="U41" s="197"/>
      <x:c r="V41" s="198" t="n">
        <x:f>IF(1-U41=0,"",ROUND((P41+T41)/(1-U41),0))</x:f>
        <x:v>0</x:v>
      </x:c>
      <x:c r="W41" s="198" t="n">
        <x:f>K41-P41</x:f>
        <x:v>0</x:v>
      </x:c>
      <x:c r="X41" s="198" t="n">
        <x:f>IF(K41=0,0,W41/K41)</x:f>
        <x:v>0</x:v>
      </x:c>
      <x:c r="Y41" s="198" t="str">
        <x:f>IF(K41&lt;V41,IF(OR(C41="Strategico / caso studio",C41="Partnership"),"Strategico ma sottoprezzato","Cliente sottoprezzato"),IF(X41&lt;0.3,"Cliente da rinegoziare",IF((Q41+R41+S41)&gt;80,"Cliente troppo pesante","Cliente sano")))</x:f>
        <x:v>Cliente da rinegoziare</x:v>
      </x:c>
      <x:c r="Z41" s="198" t="n">
        <x:f>MAX(W41,0)/2</x:f>
        <x:v>0</x:v>
      </x:c>
      <x:c r="AA41" s="198" t="n">
        <x:f>MAX(W41,0)/2</x:f>
        <x:v>0</x:v>
      </x:c>
      <x:c r="AB41" s="198" t="n">
        <x:f>Z41*Impostazioni!$B$7*Impostazioni!$B$8</x:f>
        <x:v>0</x:v>
      </x:c>
      <x:c r="AC41" s="198" t="n">
        <x:f>MAX(Z41*Impostazioni!$B$7-AB41,0)*Impostazioni!$B$9</x:f>
        <x:v>0</x:v>
      </x:c>
      <x:c r="AD41" s="198" t="n">
        <x:f>Z41-AB41-AC41</x:f>
        <x:v>0</x:v>
      </x:c>
      <x:c r="AE41" s="198" t="n">
        <x:f>IF(Q41=0,0,AD41/Q41)</x:f>
        <x:v>0</x:v>
      </x:c>
      <x:c r="AF41" s="198" t="n">
        <x:f>AA41-(AA41*Impostazioni!$B$7*Impostazioni!$B$8)-MAX(AA41*Impostazioni!$B$7-(AA41*Impostazioni!$B$7*Impostazioni!$B$8),0)*Impostazioni!$B$9</x:f>
        <x:v>0</x:v>
      </x:c>
      <x:c r="AG41" s="198" t="n">
        <x:f>IF(R41=0,0,AF41/R41)</x:f>
        <x:v>0</x:v>
      </x:c>
    </x:row>
    <x:row r="42">
      <x:c r="A42" s="197"/>
      <x:c r="B42" s="197"/>
      <x:c r="C42" s="197"/>
      <x:c r="D42" s="197"/>
      <x:c r="E42" s="197"/>
      <x:c r="F42" s="197"/>
      <x:c r="G42" s="197"/>
      <x:c r="H42" s="197"/>
      <x:c r="I42" s="197"/>
      <x:c r="J42" s="197"/>
      <x:c r="K42" s="198" t="n">
        <x:f>F42+H42+I42+J42</x:f>
        <x:v>0</x:v>
      </x:c>
      <x:c r="L42" s="198" t="n">
        <x:f>SUMIFS('Costi &amp; Tool'!$G:$G,'Costi &amp; Tool'!$C:$C,A42,'Costi &amp; Tool'!$H:$H,"Sì")</x:f>
        <x:v>0</x:v>
      </x:c>
      <x:c r="M42" s="197"/>
      <x:c r="N42" s="197"/>
      <x:c r="O42" s="197"/>
      <x:c r="P42" s="198" t="n">
        <x:f>L42+M42+N42+O42</x:f>
        <x:v>0</x:v>
      </x:c>
      <x:c r="Q42" s="198" t="n">
        <x:f>SUMIFS('Attività &amp; Tempi'!$N:$N,'Attività &amp; Tempi'!$A:$A,A42,'Attività &amp; Tempi'!$E:$E,"Fabio")</x:f>
        <x:v>0</x:v>
      </x:c>
      <x:c r="R42" s="198" t="n">
        <x:f>SUMIFS('Attività &amp; Tempi'!$N:$N,'Attività &amp; Tempi'!$A:$A,A42,'Attività &amp; Tempi'!$E:$E,"Frego")</x:f>
        <x:v>0</x:v>
      </x:c>
      <x:c r="S42" s="198" t="n">
        <x:f>SUMIFS('Attività &amp; Tempi'!$N:$N,'Attività &amp; Tempi'!$A:$A,A42,'Attività &amp; Tempi'!$E:$E,"Jessica")</x:f>
        <x:v>0</x:v>
      </x:c>
      <x:c r="T42" s="198" t="n">
        <x:f>Q42*Impostazioni!$B$4+R42*Impostazioni!$B$5+S42*Impostazioni!$B$6</x:f>
        <x:v>0</x:v>
      </x:c>
      <x:c r="U42" s="197"/>
      <x:c r="V42" s="198" t="n">
        <x:f>IF(1-U42=0,"",ROUND((P42+T42)/(1-U42),0))</x:f>
        <x:v>0</x:v>
      </x:c>
      <x:c r="W42" s="198" t="n">
        <x:f>K42-P42</x:f>
        <x:v>0</x:v>
      </x:c>
      <x:c r="X42" s="198" t="n">
        <x:f>IF(K42=0,0,W42/K42)</x:f>
        <x:v>0</x:v>
      </x:c>
      <x:c r="Y42" s="198" t="str">
        <x:f>IF(K42&lt;V42,IF(OR(C42="Strategico / caso studio",C42="Partnership"),"Strategico ma sottoprezzato","Cliente sottoprezzato"),IF(X42&lt;0.3,"Cliente da rinegoziare",IF((Q42+R42+S42)&gt;80,"Cliente troppo pesante","Cliente sano")))</x:f>
        <x:v>Cliente da rinegoziare</x:v>
      </x:c>
      <x:c r="Z42" s="198" t="n">
        <x:f>MAX(W42,0)/2</x:f>
        <x:v>0</x:v>
      </x:c>
      <x:c r="AA42" s="198" t="n">
        <x:f>MAX(W42,0)/2</x:f>
        <x:v>0</x:v>
      </x:c>
      <x:c r="AB42" s="198" t="n">
        <x:f>Z42*Impostazioni!$B$7*Impostazioni!$B$8</x:f>
        <x:v>0</x:v>
      </x:c>
      <x:c r="AC42" s="198" t="n">
        <x:f>MAX(Z42*Impostazioni!$B$7-AB42,0)*Impostazioni!$B$9</x:f>
        <x:v>0</x:v>
      </x:c>
      <x:c r="AD42" s="198" t="n">
        <x:f>Z42-AB42-AC42</x:f>
        <x:v>0</x:v>
      </x:c>
      <x:c r="AE42" s="198" t="n">
        <x:f>IF(Q42=0,0,AD42/Q42)</x:f>
        <x:v>0</x:v>
      </x:c>
      <x:c r="AF42" s="198" t="n">
        <x:f>AA42-(AA42*Impostazioni!$B$7*Impostazioni!$B$8)-MAX(AA42*Impostazioni!$B$7-(AA42*Impostazioni!$B$7*Impostazioni!$B$8),0)*Impostazioni!$B$9</x:f>
        <x:v>0</x:v>
      </x:c>
      <x:c r="AG42" s="198" t="n">
        <x:f>IF(R42=0,0,AF42/R42)</x:f>
        <x:v>0</x:v>
      </x:c>
    </x:row>
    <x:row r="43">
      <x:c r="A43" s="197"/>
      <x:c r="B43" s="197"/>
      <x:c r="C43" s="197"/>
      <x:c r="D43" s="197"/>
      <x:c r="E43" s="197"/>
      <x:c r="F43" s="197"/>
      <x:c r="G43" s="197"/>
      <x:c r="H43" s="197"/>
      <x:c r="I43" s="197"/>
      <x:c r="J43" s="197"/>
      <x:c r="K43" s="198" t="n">
        <x:f>F43+H43+I43+J43</x:f>
        <x:v>0</x:v>
      </x:c>
      <x:c r="L43" s="198" t="n">
        <x:f>SUMIFS('Costi &amp; Tool'!$G:$G,'Costi &amp; Tool'!$C:$C,A43,'Costi &amp; Tool'!$H:$H,"Sì")</x:f>
        <x:v>0</x:v>
      </x:c>
      <x:c r="M43" s="197"/>
      <x:c r="N43" s="197"/>
      <x:c r="O43" s="197"/>
      <x:c r="P43" s="198" t="n">
        <x:f>L43+M43+N43+O43</x:f>
        <x:v>0</x:v>
      </x:c>
      <x:c r="Q43" s="198" t="n">
        <x:f>SUMIFS('Attività &amp; Tempi'!$N:$N,'Attività &amp; Tempi'!$A:$A,A43,'Attività &amp; Tempi'!$E:$E,"Fabio")</x:f>
        <x:v>0</x:v>
      </x:c>
      <x:c r="R43" s="198" t="n">
        <x:f>SUMIFS('Attività &amp; Tempi'!$N:$N,'Attività &amp; Tempi'!$A:$A,A43,'Attività &amp; Tempi'!$E:$E,"Frego")</x:f>
        <x:v>0</x:v>
      </x:c>
      <x:c r="S43" s="198" t="n">
        <x:f>SUMIFS('Attività &amp; Tempi'!$N:$N,'Attività &amp; Tempi'!$A:$A,A43,'Attività &amp; Tempi'!$E:$E,"Jessica")</x:f>
        <x:v>0</x:v>
      </x:c>
      <x:c r="T43" s="198" t="n">
        <x:f>Q43*Impostazioni!$B$4+R43*Impostazioni!$B$5+S43*Impostazioni!$B$6</x:f>
        <x:v>0</x:v>
      </x:c>
      <x:c r="U43" s="197"/>
      <x:c r="V43" s="198" t="n">
        <x:f>IF(1-U43=0,"",ROUND((P43+T43)/(1-U43),0))</x:f>
        <x:v>0</x:v>
      </x:c>
      <x:c r="W43" s="198" t="n">
        <x:f>K43-P43</x:f>
        <x:v>0</x:v>
      </x:c>
      <x:c r="X43" s="198" t="n">
        <x:f>IF(K43=0,0,W43/K43)</x:f>
        <x:v>0</x:v>
      </x:c>
      <x:c r="Y43" s="198" t="str">
        <x:f>IF(K43&lt;V43,IF(OR(C43="Strategico / caso studio",C43="Partnership"),"Strategico ma sottoprezzato","Cliente sottoprezzato"),IF(X43&lt;0.3,"Cliente da rinegoziare",IF((Q43+R43+S43)&gt;80,"Cliente troppo pesante","Cliente sano")))</x:f>
        <x:v>Cliente da rinegoziare</x:v>
      </x:c>
      <x:c r="Z43" s="198" t="n">
        <x:f>MAX(W43,0)/2</x:f>
        <x:v>0</x:v>
      </x:c>
      <x:c r="AA43" s="198" t="n">
        <x:f>MAX(W43,0)/2</x:f>
        <x:v>0</x:v>
      </x:c>
      <x:c r="AB43" s="198" t="n">
        <x:f>Z43*Impostazioni!$B$7*Impostazioni!$B$8</x:f>
        <x:v>0</x:v>
      </x:c>
      <x:c r="AC43" s="198" t="n">
        <x:f>MAX(Z43*Impostazioni!$B$7-AB43,0)*Impostazioni!$B$9</x:f>
        <x:v>0</x:v>
      </x:c>
      <x:c r="AD43" s="198" t="n">
        <x:f>Z43-AB43-AC43</x:f>
        <x:v>0</x:v>
      </x:c>
      <x:c r="AE43" s="198" t="n">
        <x:f>IF(Q43=0,0,AD43/Q43)</x:f>
        <x:v>0</x:v>
      </x:c>
      <x:c r="AF43" s="198" t="n">
        <x:f>AA43-(AA43*Impostazioni!$B$7*Impostazioni!$B$8)-MAX(AA43*Impostazioni!$B$7-(AA43*Impostazioni!$B$7*Impostazioni!$B$8),0)*Impostazioni!$B$9</x:f>
        <x:v>0</x:v>
      </x:c>
      <x:c r="AG43" s="198" t="n">
        <x:f>IF(R43=0,0,AF43/R43)</x:f>
        <x:v>0</x:v>
      </x:c>
    </x:row>
    <x:row r="44">
      <x:c r="A44" s="197"/>
      <x:c r="B44" s="197"/>
      <x:c r="C44" s="197"/>
      <x:c r="D44" s="197"/>
      <x:c r="E44" s="197"/>
      <x:c r="F44" s="197"/>
      <x:c r="G44" s="197"/>
      <x:c r="H44" s="197"/>
      <x:c r="I44" s="197"/>
      <x:c r="J44" s="197"/>
      <x:c r="K44" s="198" t="n">
        <x:f>F44+H44+I44+J44</x:f>
        <x:v>0</x:v>
      </x:c>
      <x:c r="L44" s="198" t="n">
        <x:f>SUMIFS('Costi &amp; Tool'!$G:$G,'Costi &amp; Tool'!$C:$C,A44,'Costi &amp; Tool'!$H:$H,"Sì")</x:f>
        <x:v>0</x:v>
      </x:c>
      <x:c r="M44" s="197"/>
      <x:c r="N44" s="197"/>
      <x:c r="O44" s="197"/>
      <x:c r="P44" s="198" t="n">
        <x:f>L44+M44+N44+O44</x:f>
        <x:v>0</x:v>
      </x:c>
      <x:c r="Q44" s="198" t="n">
        <x:f>SUMIFS('Attività &amp; Tempi'!$N:$N,'Attività &amp; Tempi'!$A:$A,A44,'Attività &amp; Tempi'!$E:$E,"Fabio")</x:f>
        <x:v>0</x:v>
      </x:c>
      <x:c r="R44" s="198" t="n">
        <x:f>SUMIFS('Attività &amp; Tempi'!$N:$N,'Attività &amp; Tempi'!$A:$A,A44,'Attività &amp; Tempi'!$E:$E,"Frego")</x:f>
        <x:v>0</x:v>
      </x:c>
      <x:c r="S44" s="198" t="n">
        <x:f>SUMIFS('Attività &amp; Tempi'!$N:$N,'Attività &amp; Tempi'!$A:$A,A44,'Attività &amp; Tempi'!$E:$E,"Jessica")</x:f>
        <x:v>0</x:v>
      </x:c>
      <x:c r="T44" s="198" t="n">
        <x:f>Q44*Impostazioni!$B$4+R44*Impostazioni!$B$5+S44*Impostazioni!$B$6</x:f>
        <x:v>0</x:v>
      </x:c>
      <x:c r="U44" s="197"/>
      <x:c r="V44" s="198" t="n">
        <x:f>IF(1-U44=0,"",ROUND((P44+T44)/(1-U44),0))</x:f>
        <x:v>0</x:v>
      </x:c>
      <x:c r="W44" s="198" t="n">
        <x:f>K44-P44</x:f>
        <x:v>0</x:v>
      </x:c>
      <x:c r="X44" s="198" t="n">
        <x:f>IF(K44=0,0,W44/K44)</x:f>
        <x:v>0</x:v>
      </x:c>
      <x:c r="Y44" s="198" t="str">
        <x:f>IF(K44&lt;V44,IF(OR(C44="Strategico / caso studio",C44="Partnership"),"Strategico ma sottoprezzato","Cliente sottoprezzato"),IF(X44&lt;0.3,"Cliente da rinegoziare",IF((Q44+R44+S44)&gt;80,"Cliente troppo pesante","Cliente sano")))</x:f>
        <x:v>Cliente da rinegoziare</x:v>
      </x:c>
      <x:c r="Z44" s="198" t="n">
        <x:f>MAX(W44,0)/2</x:f>
        <x:v>0</x:v>
      </x:c>
      <x:c r="AA44" s="198" t="n">
        <x:f>MAX(W44,0)/2</x:f>
        <x:v>0</x:v>
      </x:c>
      <x:c r="AB44" s="198" t="n">
        <x:f>Z44*Impostazioni!$B$7*Impostazioni!$B$8</x:f>
        <x:v>0</x:v>
      </x:c>
      <x:c r="AC44" s="198" t="n">
        <x:f>MAX(Z44*Impostazioni!$B$7-AB44,0)*Impostazioni!$B$9</x:f>
        <x:v>0</x:v>
      </x:c>
      <x:c r="AD44" s="198" t="n">
        <x:f>Z44-AB44-AC44</x:f>
        <x:v>0</x:v>
      </x:c>
      <x:c r="AE44" s="198" t="n">
        <x:f>IF(Q44=0,0,AD44/Q44)</x:f>
        <x:v>0</x:v>
      </x:c>
      <x:c r="AF44" s="198" t="n">
        <x:f>AA44-(AA44*Impostazioni!$B$7*Impostazioni!$B$8)-MAX(AA44*Impostazioni!$B$7-(AA44*Impostazioni!$B$7*Impostazioni!$B$8),0)*Impostazioni!$B$9</x:f>
        <x:v>0</x:v>
      </x:c>
      <x:c r="AG44" s="198" t="n">
        <x:f>IF(R44=0,0,AF44/R44)</x:f>
        <x:v>0</x:v>
      </x:c>
    </x:row>
    <x:row r="45">
      <x:c r="A45" s="197"/>
      <x:c r="B45" s="197"/>
      <x:c r="C45" s="197"/>
      <x:c r="D45" s="197"/>
      <x:c r="E45" s="197"/>
      <x:c r="F45" s="197"/>
      <x:c r="G45" s="197"/>
      <x:c r="H45" s="197"/>
      <x:c r="I45" s="197"/>
      <x:c r="J45" s="197"/>
      <x:c r="K45" s="198" t="n">
        <x:f>F45+H45+I45+J45</x:f>
        <x:v>0</x:v>
      </x:c>
      <x:c r="L45" s="198" t="n">
        <x:f>SUMIFS('Costi &amp; Tool'!$G:$G,'Costi &amp; Tool'!$C:$C,A45,'Costi &amp; Tool'!$H:$H,"Sì")</x:f>
        <x:v>0</x:v>
      </x:c>
      <x:c r="M45" s="197"/>
      <x:c r="N45" s="197"/>
      <x:c r="O45" s="197"/>
      <x:c r="P45" s="198" t="n">
        <x:f>L45+M45+N45+O45</x:f>
        <x:v>0</x:v>
      </x:c>
      <x:c r="Q45" s="198" t="n">
        <x:f>SUMIFS('Attività &amp; Tempi'!$N:$N,'Attività &amp; Tempi'!$A:$A,A45,'Attività &amp; Tempi'!$E:$E,"Fabio")</x:f>
        <x:v>0</x:v>
      </x:c>
      <x:c r="R45" s="198" t="n">
        <x:f>SUMIFS('Attività &amp; Tempi'!$N:$N,'Attività &amp; Tempi'!$A:$A,A45,'Attività &amp; Tempi'!$E:$E,"Frego")</x:f>
        <x:v>0</x:v>
      </x:c>
      <x:c r="S45" s="198" t="n">
        <x:f>SUMIFS('Attività &amp; Tempi'!$N:$N,'Attività &amp; Tempi'!$A:$A,A45,'Attività &amp; Tempi'!$E:$E,"Jessica")</x:f>
        <x:v>0</x:v>
      </x:c>
      <x:c r="T45" s="198" t="n">
        <x:f>Q45*Impostazioni!$B$4+R45*Impostazioni!$B$5+S45*Impostazioni!$B$6</x:f>
        <x:v>0</x:v>
      </x:c>
      <x:c r="U45" s="197"/>
      <x:c r="V45" s="198" t="n">
        <x:f>IF(1-U45=0,"",ROUND((P45+T45)/(1-U45),0))</x:f>
        <x:v>0</x:v>
      </x:c>
      <x:c r="W45" s="198" t="n">
        <x:f>K45-P45</x:f>
        <x:v>0</x:v>
      </x:c>
      <x:c r="X45" s="198" t="n">
        <x:f>IF(K45=0,0,W45/K45)</x:f>
        <x:v>0</x:v>
      </x:c>
      <x:c r="Y45" s="198" t="str">
        <x:f>IF(K45&lt;V45,IF(OR(C45="Strategico / caso studio",C45="Partnership"),"Strategico ma sottoprezzato","Cliente sottoprezzato"),IF(X45&lt;0.3,"Cliente da rinegoziare",IF((Q45+R45+S45)&gt;80,"Cliente troppo pesante","Cliente sano")))</x:f>
        <x:v>Cliente da rinegoziare</x:v>
      </x:c>
      <x:c r="Z45" s="198" t="n">
        <x:f>MAX(W45,0)/2</x:f>
        <x:v>0</x:v>
      </x:c>
      <x:c r="AA45" s="198" t="n">
        <x:f>MAX(W45,0)/2</x:f>
        <x:v>0</x:v>
      </x:c>
      <x:c r="AB45" s="198" t="n">
        <x:f>Z45*Impostazioni!$B$7*Impostazioni!$B$8</x:f>
        <x:v>0</x:v>
      </x:c>
      <x:c r="AC45" s="198" t="n">
        <x:f>MAX(Z45*Impostazioni!$B$7-AB45,0)*Impostazioni!$B$9</x:f>
        <x:v>0</x:v>
      </x:c>
      <x:c r="AD45" s="198" t="n">
        <x:f>Z45-AB45-AC45</x:f>
        <x:v>0</x:v>
      </x:c>
      <x:c r="AE45" s="198" t="n">
        <x:f>IF(Q45=0,0,AD45/Q45)</x:f>
        <x:v>0</x:v>
      </x:c>
      <x:c r="AF45" s="198" t="n">
        <x:f>AA45-(AA45*Impostazioni!$B$7*Impostazioni!$B$8)-MAX(AA45*Impostazioni!$B$7-(AA45*Impostazioni!$B$7*Impostazioni!$B$8),0)*Impostazioni!$B$9</x:f>
        <x:v>0</x:v>
      </x:c>
      <x:c r="AG45" s="198" t="n">
        <x:f>IF(R45=0,0,AF45/R45)</x:f>
        <x:v>0</x:v>
      </x:c>
    </x:row>
    <x:row r="46">
      <x:c r="A46" s="197"/>
      <x:c r="B46" s="197"/>
      <x:c r="C46" s="197"/>
      <x:c r="D46" s="197"/>
      <x:c r="E46" s="197"/>
      <x:c r="F46" s="197"/>
      <x:c r="G46" s="197"/>
      <x:c r="H46" s="197"/>
      <x:c r="I46" s="197"/>
      <x:c r="J46" s="197"/>
      <x:c r="K46" s="198" t="n">
        <x:f>F46+H46+I46+J46</x:f>
        <x:v>0</x:v>
      </x:c>
      <x:c r="L46" s="198" t="n">
        <x:f>SUMIFS('Costi &amp; Tool'!$G:$G,'Costi &amp; Tool'!$C:$C,A46,'Costi &amp; Tool'!$H:$H,"Sì")</x:f>
        <x:v>0</x:v>
      </x:c>
      <x:c r="M46" s="197"/>
      <x:c r="N46" s="197"/>
      <x:c r="O46" s="197"/>
      <x:c r="P46" s="198" t="n">
        <x:f>L46+M46+N46+O46</x:f>
        <x:v>0</x:v>
      </x:c>
      <x:c r="Q46" s="198" t="n">
        <x:f>SUMIFS('Attività &amp; Tempi'!$N:$N,'Attività &amp; Tempi'!$A:$A,A46,'Attività &amp; Tempi'!$E:$E,"Fabio")</x:f>
        <x:v>0</x:v>
      </x:c>
      <x:c r="R46" s="198" t="n">
        <x:f>SUMIFS('Attività &amp; Tempi'!$N:$N,'Attività &amp; Tempi'!$A:$A,A46,'Attività &amp; Tempi'!$E:$E,"Frego")</x:f>
        <x:v>0</x:v>
      </x:c>
      <x:c r="S46" s="198" t="n">
        <x:f>SUMIFS('Attività &amp; Tempi'!$N:$N,'Attività &amp; Tempi'!$A:$A,A46,'Attività &amp; Tempi'!$E:$E,"Jessica")</x:f>
        <x:v>0</x:v>
      </x:c>
      <x:c r="T46" s="198" t="n">
        <x:f>Q46*Impostazioni!$B$4+R46*Impostazioni!$B$5+S46*Impostazioni!$B$6</x:f>
        <x:v>0</x:v>
      </x:c>
      <x:c r="U46" s="197"/>
      <x:c r="V46" s="198" t="n">
        <x:f>IF(1-U46=0,"",ROUND((P46+T46)/(1-U46),0))</x:f>
        <x:v>0</x:v>
      </x:c>
      <x:c r="W46" s="198" t="n">
        <x:f>K46-P46</x:f>
        <x:v>0</x:v>
      </x:c>
      <x:c r="X46" s="198" t="n">
        <x:f>IF(K46=0,0,W46/K46)</x:f>
        <x:v>0</x:v>
      </x:c>
      <x:c r="Y46" s="198" t="str">
        <x:f>IF(K46&lt;V46,IF(OR(C46="Strategico / caso studio",C46="Partnership"),"Strategico ma sottoprezzato","Cliente sottoprezzato"),IF(X46&lt;0.3,"Cliente da rinegoziare",IF((Q46+R46+S46)&gt;80,"Cliente troppo pesante","Cliente sano")))</x:f>
        <x:v>Cliente da rinegoziare</x:v>
      </x:c>
      <x:c r="Z46" s="198" t="n">
        <x:f>MAX(W46,0)/2</x:f>
        <x:v>0</x:v>
      </x:c>
      <x:c r="AA46" s="198" t="n">
        <x:f>MAX(W46,0)/2</x:f>
        <x:v>0</x:v>
      </x:c>
      <x:c r="AB46" s="198" t="n">
        <x:f>Z46*Impostazioni!$B$7*Impostazioni!$B$8</x:f>
        <x:v>0</x:v>
      </x:c>
      <x:c r="AC46" s="198" t="n">
        <x:f>MAX(Z46*Impostazioni!$B$7-AB46,0)*Impostazioni!$B$9</x:f>
        <x:v>0</x:v>
      </x:c>
      <x:c r="AD46" s="198" t="n">
        <x:f>Z46-AB46-AC46</x:f>
        <x:v>0</x:v>
      </x:c>
      <x:c r="AE46" s="198" t="n">
        <x:f>IF(Q46=0,0,AD46/Q46)</x:f>
        <x:v>0</x:v>
      </x:c>
      <x:c r="AF46" s="198" t="n">
        <x:f>AA46-(AA46*Impostazioni!$B$7*Impostazioni!$B$8)-MAX(AA46*Impostazioni!$B$7-(AA46*Impostazioni!$B$7*Impostazioni!$B$8),0)*Impostazioni!$B$9</x:f>
        <x:v>0</x:v>
      </x:c>
      <x:c r="AG46" s="198" t="n">
        <x:f>IF(R46=0,0,AF46/R46)</x:f>
        <x:v>0</x:v>
      </x:c>
    </x:row>
    <x:row r="47">
      <x:c r="A47" s="197"/>
      <x:c r="B47" s="197"/>
      <x:c r="C47" s="197"/>
      <x:c r="D47" s="197"/>
      <x:c r="E47" s="197"/>
      <x:c r="F47" s="197"/>
      <x:c r="G47" s="197"/>
      <x:c r="H47" s="197"/>
      <x:c r="I47" s="197"/>
      <x:c r="J47" s="197"/>
      <x:c r="K47" s="198" t="n">
        <x:f>F47+H47+I47+J47</x:f>
        <x:v>0</x:v>
      </x:c>
      <x:c r="L47" s="198" t="n">
        <x:f>SUMIFS('Costi &amp; Tool'!$G:$G,'Costi &amp; Tool'!$C:$C,A47,'Costi &amp; Tool'!$H:$H,"Sì")</x:f>
        <x:v>0</x:v>
      </x:c>
      <x:c r="M47" s="197"/>
      <x:c r="N47" s="197"/>
      <x:c r="O47" s="197"/>
      <x:c r="P47" s="198" t="n">
        <x:f>L47+M47+N47+O47</x:f>
        <x:v>0</x:v>
      </x:c>
      <x:c r="Q47" s="198" t="n">
        <x:f>SUMIFS('Attività &amp; Tempi'!$N:$N,'Attività &amp; Tempi'!$A:$A,A47,'Attività &amp; Tempi'!$E:$E,"Fabio")</x:f>
        <x:v>0</x:v>
      </x:c>
      <x:c r="R47" s="198" t="n">
        <x:f>SUMIFS('Attività &amp; Tempi'!$N:$N,'Attività &amp; Tempi'!$A:$A,A47,'Attività &amp; Tempi'!$E:$E,"Frego")</x:f>
        <x:v>0</x:v>
      </x:c>
      <x:c r="S47" s="198" t="n">
        <x:f>SUMIFS('Attività &amp; Tempi'!$N:$N,'Attività &amp; Tempi'!$A:$A,A47,'Attività &amp; Tempi'!$E:$E,"Jessica")</x:f>
        <x:v>0</x:v>
      </x:c>
      <x:c r="T47" s="198" t="n">
        <x:f>Q47*Impostazioni!$B$4+R47*Impostazioni!$B$5+S47*Impostazioni!$B$6</x:f>
        <x:v>0</x:v>
      </x:c>
      <x:c r="U47" s="197"/>
      <x:c r="V47" s="198" t="n">
        <x:f>IF(1-U47=0,"",ROUND((P47+T47)/(1-U47),0))</x:f>
        <x:v>0</x:v>
      </x:c>
      <x:c r="W47" s="198" t="n">
        <x:f>K47-P47</x:f>
        <x:v>0</x:v>
      </x:c>
      <x:c r="X47" s="198" t="n">
        <x:f>IF(K47=0,0,W47/K47)</x:f>
        <x:v>0</x:v>
      </x:c>
      <x:c r="Y47" s="198" t="str">
        <x:f>IF(K47&lt;V47,IF(OR(C47="Strategico / caso studio",C47="Partnership"),"Strategico ma sottoprezzato","Cliente sottoprezzato"),IF(X47&lt;0.3,"Cliente da rinegoziare",IF((Q47+R47+S47)&gt;80,"Cliente troppo pesante","Cliente sano")))</x:f>
        <x:v>Cliente da rinegoziare</x:v>
      </x:c>
      <x:c r="Z47" s="198" t="n">
        <x:f>MAX(W47,0)/2</x:f>
        <x:v>0</x:v>
      </x:c>
      <x:c r="AA47" s="198" t="n">
        <x:f>MAX(W47,0)/2</x:f>
        <x:v>0</x:v>
      </x:c>
      <x:c r="AB47" s="198" t="n">
        <x:f>Z47*Impostazioni!$B$7*Impostazioni!$B$8</x:f>
        <x:v>0</x:v>
      </x:c>
      <x:c r="AC47" s="198" t="n">
        <x:f>MAX(Z47*Impostazioni!$B$7-AB47,0)*Impostazioni!$B$9</x:f>
        <x:v>0</x:v>
      </x:c>
      <x:c r="AD47" s="198" t="n">
        <x:f>Z47-AB47-AC47</x:f>
        <x:v>0</x:v>
      </x:c>
      <x:c r="AE47" s="198" t="n">
        <x:f>IF(Q47=0,0,AD47/Q47)</x:f>
        <x:v>0</x:v>
      </x:c>
      <x:c r="AF47" s="198" t="n">
        <x:f>AA47-(AA47*Impostazioni!$B$7*Impostazioni!$B$8)-MAX(AA47*Impostazioni!$B$7-(AA47*Impostazioni!$B$7*Impostazioni!$B$8),0)*Impostazioni!$B$9</x:f>
        <x:v>0</x:v>
      </x:c>
      <x:c r="AG47" s="198" t="n">
        <x:f>IF(R47=0,0,AF47/R47)</x:f>
        <x:v>0</x:v>
      </x:c>
    </x:row>
    <x:row r="48">
      <x:c r="A48" s="197"/>
      <x:c r="B48" s="197"/>
      <x:c r="C48" s="197"/>
      <x:c r="D48" s="197"/>
      <x:c r="E48" s="197"/>
      <x:c r="F48" s="197"/>
      <x:c r="G48" s="197"/>
      <x:c r="H48" s="197"/>
      <x:c r="I48" s="197"/>
      <x:c r="J48" s="197"/>
      <x:c r="K48" s="198" t="n">
        <x:f>F48+H48+I48+J48</x:f>
        <x:v>0</x:v>
      </x:c>
      <x:c r="L48" s="198" t="n">
        <x:f>SUMIFS('Costi &amp; Tool'!$G:$G,'Costi &amp; Tool'!$C:$C,A48,'Costi &amp; Tool'!$H:$H,"Sì")</x:f>
        <x:v>0</x:v>
      </x:c>
      <x:c r="M48" s="197"/>
      <x:c r="N48" s="197"/>
      <x:c r="O48" s="197"/>
      <x:c r="P48" s="198" t="n">
        <x:f>L48+M48+N48+O48</x:f>
        <x:v>0</x:v>
      </x:c>
      <x:c r="Q48" s="198" t="n">
        <x:f>SUMIFS('Attività &amp; Tempi'!$N:$N,'Attività &amp; Tempi'!$A:$A,A48,'Attività &amp; Tempi'!$E:$E,"Fabio")</x:f>
        <x:v>0</x:v>
      </x:c>
      <x:c r="R48" s="198" t="n">
        <x:f>SUMIFS('Attività &amp; Tempi'!$N:$N,'Attività &amp; Tempi'!$A:$A,A48,'Attività &amp; Tempi'!$E:$E,"Frego")</x:f>
        <x:v>0</x:v>
      </x:c>
      <x:c r="S48" s="198" t="n">
        <x:f>SUMIFS('Attività &amp; Tempi'!$N:$N,'Attività &amp; Tempi'!$A:$A,A48,'Attività &amp; Tempi'!$E:$E,"Jessica")</x:f>
        <x:v>0</x:v>
      </x:c>
      <x:c r="T48" s="198" t="n">
        <x:f>Q48*Impostazioni!$B$4+R48*Impostazioni!$B$5+S48*Impostazioni!$B$6</x:f>
        <x:v>0</x:v>
      </x:c>
      <x:c r="U48" s="197"/>
      <x:c r="V48" s="198" t="n">
        <x:f>IF(1-U48=0,"",ROUND((P48+T48)/(1-U48),0))</x:f>
        <x:v>0</x:v>
      </x:c>
      <x:c r="W48" s="198" t="n">
        <x:f>K48-P48</x:f>
        <x:v>0</x:v>
      </x:c>
      <x:c r="X48" s="198" t="n">
        <x:f>IF(K48=0,0,W48/K48)</x:f>
        <x:v>0</x:v>
      </x:c>
      <x:c r="Y48" s="198" t="str">
        <x:f>IF(K48&lt;V48,IF(OR(C48="Strategico / caso studio",C48="Partnership"),"Strategico ma sottoprezzato","Cliente sottoprezzato"),IF(X48&lt;0.3,"Cliente da rinegoziare",IF((Q48+R48+S48)&gt;80,"Cliente troppo pesante","Cliente sano")))</x:f>
        <x:v>Cliente da rinegoziare</x:v>
      </x:c>
      <x:c r="Z48" s="198" t="n">
        <x:f>MAX(W48,0)/2</x:f>
        <x:v>0</x:v>
      </x:c>
      <x:c r="AA48" s="198" t="n">
        <x:f>MAX(W48,0)/2</x:f>
        <x:v>0</x:v>
      </x:c>
      <x:c r="AB48" s="198" t="n">
        <x:f>Z48*Impostazioni!$B$7*Impostazioni!$B$8</x:f>
        <x:v>0</x:v>
      </x:c>
      <x:c r="AC48" s="198" t="n">
        <x:f>MAX(Z48*Impostazioni!$B$7-AB48,0)*Impostazioni!$B$9</x:f>
        <x:v>0</x:v>
      </x:c>
      <x:c r="AD48" s="198" t="n">
        <x:f>Z48-AB48-AC48</x:f>
        <x:v>0</x:v>
      </x:c>
      <x:c r="AE48" s="198" t="n">
        <x:f>IF(Q48=0,0,AD48/Q48)</x:f>
        <x:v>0</x:v>
      </x:c>
      <x:c r="AF48" s="198" t="n">
        <x:f>AA48-(AA48*Impostazioni!$B$7*Impostazioni!$B$8)-MAX(AA48*Impostazioni!$B$7-(AA48*Impostazioni!$B$7*Impostazioni!$B$8),0)*Impostazioni!$B$9</x:f>
        <x:v>0</x:v>
      </x:c>
      <x:c r="AG48" s="198" t="n">
        <x:f>IF(R48=0,0,AF48/R48)</x:f>
        <x:v>0</x:v>
      </x:c>
    </x:row>
    <x:row r="49">
      <x:c r="A49" s="197"/>
      <x:c r="B49" s="197"/>
      <x:c r="C49" s="197"/>
      <x:c r="D49" s="197"/>
      <x:c r="E49" s="197"/>
      <x:c r="F49" s="197"/>
      <x:c r="G49" s="197"/>
      <x:c r="H49" s="197"/>
      <x:c r="I49" s="197"/>
      <x:c r="J49" s="197"/>
      <x:c r="K49" s="198" t="n">
        <x:f>F49+H49+I49+J49</x:f>
        <x:v>0</x:v>
      </x:c>
      <x:c r="L49" s="198" t="n">
        <x:f>SUMIFS('Costi &amp; Tool'!$G:$G,'Costi &amp; Tool'!$C:$C,A49,'Costi &amp; Tool'!$H:$H,"Sì")</x:f>
        <x:v>0</x:v>
      </x:c>
      <x:c r="M49" s="197"/>
      <x:c r="N49" s="197"/>
      <x:c r="O49" s="197"/>
      <x:c r="P49" s="198" t="n">
        <x:f>L49+M49+N49+O49</x:f>
        <x:v>0</x:v>
      </x:c>
      <x:c r="Q49" s="198" t="n">
        <x:f>SUMIFS('Attività &amp; Tempi'!$N:$N,'Attività &amp; Tempi'!$A:$A,A49,'Attività &amp; Tempi'!$E:$E,"Fabio")</x:f>
        <x:v>0</x:v>
      </x:c>
      <x:c r="R49" s="198" t="n">
        <x:f>SUMIFS('Attività &amp; Tempi'!$N:$N,'Attività &amp; Tempi'!$A:$A,A49,'Attività &amp; Tempi'!$E:$E,"Frego")</x:f>
        <x:v>0</x:v>
      </x:c>
      <x:c r="S49" s="198" t="n">
        <x:f>SUMIFS('Attività &amp; Tempi'!$N:$N,'Attività &amp; Tempi'!$A:$A,A49,'Attività &amp; Tempi'!$E:$E,"Jessica")</x:f>
        <x:v>0</x:v>
      </x:c>
      <x:c r="T49" s="198" t="n">
        <x:f>Q49*Impostazioni!$B$4+R49*Impostazioni!$B$5+S49*Impostazioni!$B$6</x:f>
        <x:v>0</x:v>
      </x:c>
      <x:c r="U49" s="197"/>
      <x:c r="V49" s="198" t="n">
        <x:f>IF(1-U49=0,"",ROUND((P49+T49)/(1-U49),0))</x:f>
        <x:v>0</x:v>
      </x:c>
      <x:c r="W49" s="198" t="n">
        <x:f>K49-P49</x:f>
        <x:v>0</x:v>
      </x:c>
      <x:c r="X49" s="198" t="n">
        <x:f>IF(K49=0,0,W49/K49)</x:f>
        <x:v>0</x:v>
      </x:c>
      <x:c r="Y49" s="198" t="str">
        <x:f>IF(K49&lt;V49,IF(OR(C49="Strategico / caso studio",C49="Partnership"),"Strategico ma sottoprezzato","Cliente sottoprezzato"),IF(X49&lt;0.3,"Cliente da rinegoziare",IF((Q49+R49+S49)&gt;80,"Cliente troppo pesante","Cliente sano")))</x:f>
        <x:v>Cliente da rinegoziare</x:v>
      </x:c>
      <x:c r="Z49" s="198" t="n">
        <x:f>MAX(W49,0)/2</x:f>
        <x:v>0</x:v>
      </x:c>
      <x:c r="AA49" s="198" t="n">
        <x:f>MAX(W49,0)/2</x:f>
        <x:v>0</x:v>
      </x:c>
      <x:c r="AB49" s="198" t="n">
        <x:f>Z49*Impostazioni!$B$7*Impostazioni!$B$8</x:f>
        <x:v>0</x:v>
      </x:c>
      <x:c r="AC49" s="198" t="n">
        <x:f>MAX(Z49*Impostazioni!$B$7-AB49,0)*Impostazioni!$B$9</x:f>
        <x:v>0</x:v>
      </x:c>
      <x:c r="AD49" s="198" t="n">
        <x:f>Z49-AB49-AC49</x:f>
        <x:v>0</x:v>
      </x:c>
      <x:c r="AE49" s="198" t="n">
        <x:f>IF(Q49=0,0,AD49/Q49)</x:f>
        <x:v>0</x:v>
      </x:c>
      <x:c r="AF49" s="198" t="n">
        <x:f>AA49-(AA49*Impostazioni!$B$7*Impostazioni!$B$8)-MAX(AA49*Impostazioni!$B$7-(AA49*Impostazioni!$B$7*Impostazioni!$B$8),0)*Impostazioni!$B$9</x:f>
        <x:v>0</x:v>
      </x:c>
      <x:c r="AG49" s="198" t="n">
        <x:f>IF(R49=0,0,AF49/R49)</x:f>
        <x:v>0</x:v>
      </x:c>
    </x:row>
    <x:row r="50">
      <x:c r="A50" s="197"/>
      <x:c r="B50" s="197"/>
      <x:c r="C50" s="197"/>
      <x:c r="D50" s="197"/>
      <x:c r="E50" s="197"/>
      <x:c r="F50" s="197"/>
      <x:c r="G50" s="197"/>
      <x:c r="H50" s="197"/>
      <x:c r="I50" s="197"/>
      <x:c r="J50" s="197"/>
      <x:c r="K50" s="198" t="n">
        <x:f>F50+H50+I50+J50</x:f>
        <x:v>0</x:v>
      </x:c>
      <x:c r="L50" s="198" t="n">
        <x:f>SUMIFS('Costi &amp; Tool'!$G:$G,'Costi &amp; Tool'!$C:$C,A50,'Costi &amp; Tool'!$H:$H,"Sì")</x:f>
        <x:v>0</x:v>
      </x:c>
      <x:c r="M50" s="197"/>
      <x:c r="N50" s="197"/>
      <x:c r="O50" s="197"/>
      <x:c r="P50" s="198" t="n">
        <x:f>L50+M50+N50+O50</x:f>
        <x:v>0</x:v>
      </x:c>
      <x:c r="Q50" s="198" t="n">
        <x:f>SUMIFS('Attività &amp; Tempi'!$N:$N,'Attività &amp; Tempi'!$A:$A,A50,'Attività &amp; Tempi'!$E:$E,"Fabio")</x:f>
        <x:v>0</x:v>
      </x:c>
      <x:c r="R50" s="198" t="n">
        <x:f>SUMIFS('Attività &amp; Tempi'!$N:$N,'Attività &amp; Tempi'!$A:$A,A50,'Attività &amp; Tempi'!$E:$E,"Frego")</x:f>
        <x:v>0</x:v>
      </x:c>
      <x:c r="S50" s="198" t="n">
        <x:f>SUMIFS('Attività &amp; Tempi'!$N:$N,'Attività &amp; Tempi'!$A:$A,A50,'Attività &amp; Tempi'!$E:$E,"Jessica")</x:f>
        <x:v>0</x:v>
      </x:c>
      <x:c r="T50" s="198" t="n">
        <x:f>Q50*Impostazioni!$B$4+R50*Impostazioni!$B$5+S50*Impostazioni!$B$6</x:f>
        <x:v>0</x:v>
      </x:c>
      <x:c r="U50" s="197"/>
      <x:c r="V50" s="198" t="n">
        <x:f>IF(1-U50=0,"",ROUND((P50+T50)/(1-U50),0))</x:f>
        <x:v>0</x:v>
      </x:c>
      <x:c r="W50" s="198" t="n">
        <x:f>K50-P50</x:f>
        <x:v>0</x:v>
      </x:c>
      <x:c r="X50" s="198" t="n">
        <x:f>IF(K50=0,0,W50/K50)</x:f>
        <x:v>0</x:v>
      </x:c>
      <x:c r="Y50" s="198" t="str">
        <x:f>IF(K50&lt;V50,IF(OR(C50="Strategico / caso studio",C50="Partnership"),"Strategico ma sottoprezzato","Cliente sottoprezzato"),IF(X50&lt;0.3,"Cliente da rinegoziare",IF((Q50+R50+S50)&gt;80,"Cliente troppo pesante","Cliente sano")))</x:f>
        <x:v>Cliente da rinegoziare</x:v>
      </x:c>
      <x:c r="Z50" s="198" t="n">
        <x:f>MAX(W50,0)/2</x:f>
        <x:v>0</x:v>
      </x:c>
      <x:c r="AA50" s="198" t="n">
        <x:f>MAX(W50,0)/2</x:f>
        <x:v>0</x:v>
      </x:c>
      <x:c r="AB50" s="198" t="n">
        <x:f>Z50*Impostazioni!$B$7*Impostazioni!$B$8</x:f>
        <x:v>0</x:v>
      </x:c>
      <x:c r="AC50" s="198" t="n">
        <x:f>MAX(Z50*Impostazioni!$B$7-AB50,0)*Impostazioni!$B$9</x:f>
        <x:v>0</x:v>
      </x:c>
      <x:c r="AD50" s="198" t="n">
        <x:f>Z50-AB50-AC50</x:f>
        <x:v>0</x:v>
      </x:c>
      <x:c r="AE50" s="198" t="n">
        <x:f>IF(Q50=0,0,AD50/Q50)</x:f>
        <x:v>0</x:v>
      </x:c>
      <x:c r="AF50" s="198" t="n">
        <x:f>AA50-(AA50*Impostazioni!$B$7*Impostazioni!$B$8)-MAX(AA50*Impostazioni!$B$7-(AA50*Impostazioni!$B$7*Impostazioni!$B$8),0)*Impostazioni!$B$9</x:f>
        <x:v>0</x:v>
      </x:c>
      <x:c r="AG50" s="198" t="n">
        <x:f>IF(R50=0,0,AF50/R50)</x:f>
        <x:v>0</x:v>
      </x:c>
    </x:row>
    <x:row r="51">
      <x:c r="A51" s="197"/>
      <x:c r="B51" s="197"/>
      <x:c r="C51" s="197"/>
      <x:c r="D51" s="197"/>
      <x:c r="E51" s="197"/>
      <x:c r="F51" s="197"/>
      <x:c r="G51" s="197"/>
      <x:c r="H51" s="197"/>
      <x:c r="I51" s="197"/>
      <x:c r="J51" s="197"/>
      <x:c r="K51" s="198" t="n">
        <x:f>F51+H51+I51+J51</x:f>
        <x:v>0</x:v>
      </x:c>
      <x:c r="L51" s="198" t="n">
        <x:f>SUMIFS('Costi &amp; Tool'!$G:$G,'Costi &amp; Tool'!$C:$C,A51,'Costi &amp; Tool'!$H:$H,"Sì")</x:f>
        <x:v>0</x:v>
      </x:c>
      <x:c r="M51" s="197"/>
      <x:c r="N51" s="197"/>
      <x:c r="O51" s="197"/>
      <x:c r="P51" s="198" t="n">
        <x:f>L51+M51+N51+O51</x:f>
        <x:v>0</x:v>
      </x:c>
      <x:c r="Q51" s="198" t="n">
        <x:f>SUMIFS('Attività &amp; Tempi'!$N:$N,'Attività &amp; Tempi'!$A:$A,A51,'Attività &amp; Tempi'!$E:$E,"Fabio")</x:f>
        <x:v>0</x:v>
      </x:c>
      <x:c r="R51" s="198" t="n">
        <x:f>SUMIFS('Attività &amp; Tempi'!$N:$N,'Attività &amp; Tempi'!$A:$A,A51,'Attività &amp; Tempi'!$E:$E,"Frego")</x:f>
        <x:v>0</x:v>
      </x:c>
      <x:c r="S51" s="198" t="n">
        <x:f>SUMIFS('Attività &amp; Tempi'!$N:$N,'Attività &amp; Tempi'!$A:$A,A51,'Attività &amp; Tempi'!$E:$E,"Jessica")</x:f>
        <x:v>0</x:v>
      </x:c>
      <x:c r="T51" s="198" t="n">
        <x:f>Q51*Impostazioni!$B$4+R51*Impostazioni!$B$5+S51*Impostazioni!$B$6</x:f>
        <x:v>0</x:v>
      </x:c>
      <x:c r="U51" s="197"/>
      <x:c r="V51" s="198" t="n">
        <x:f>IF(1-U51=0,"",ROUND((P51+T51)/(1-U51),0))</x:f>
        <x:v>0</x:v>
      </x:c>
      <x:c r="W51" s="198" t="n">
        <x:f>K51-P51</x:f>
        <x:v>0</x:v>
      </x:c>
      <x:c r="X51" s="198" t="n">
        <x:f>IF(K51=0,0,W51/K51)</x:f>
        <x:v>0</x:v>
      </x:c>
      <x:c r="Y51" s="198" t="str">
        <x:f>IF(K51&lt;V51,IF(OR(C51="Strategico / caso studio",C51="Partnership"),"Strategico ma sottoprezzato","Cliente sottoprezzato"),IF(X51&lt;0.3,"Cliente da rinegoziare",IF((Q51+R51+S51)&gt;80,"Cliente troppo pesante","Cliente sano")))</x:f>
        <x:v>Cliente da rinegoziare</x:v>
      </x:c>
      <x:c r="Z51" s="198" t="n">
        <x:f>MAX(W51,0)/2</x:f>
        <x:v>0</x:v>
      </x:c>
      <x:c r="AA51" s="198" t="n">
        <x:f>MAX(W51,0)/2</x:f>
        <x:v>0</x:v>
      </x:c>
      <x:c r="AB51" s="198" t="n">
        <x:f>Z51*Impostazioni!$B$7*Impostazioni!$B$8</x:f>
        <x:v>0</x:v>
      </x:c>
      <x:c r="AC51" s="198" t="n">
        <x:f>MAX(Z51*Impostazioni!$B$7-AB51,0)*Impostazioni!$B$9</x:f>
        <x:v>0</x:v>
      </x:c>
      <x:c r="AD51" s="198" t="n">
        <x:f>Z51-AB51-AC51</x:f>
        <x:v>0</x:v>
      </x:c>
      <x:c r="AE51" s="198" t="n">
        <x:f>IF(Q51=0,0,AD51/Q51)</x:f>
        <x:v>0</x:v>
      </x:c>
      <x:c r="AF51" s="198" t="n">
        <x:f>AA51-(AA51*Impostazioni!$B$7*Impostazioni!$B$8)-MAX(AA51*Impostazioni!$B$7-(AA51*Impostazioni!$B$7*Impostazioni!$B$8),0)*Impostazioni!$B$9</x:f>
        <x:v>0</x:v>
      </x:c>
      <x:c r="AG51" s="198" t="n">
        <x:f>IF(R51=0,0,AF51/R51)</x:f>
        <x:v>0</x:v>
      </x:c>
    </x:row>
    <x:row r="52">
      <x:c r="A52" s="197"/>
      <x:c r="B52" s="197"/>
      <x:c r="C52" s="197"/>
      <x:c r="D52" s="197"/>
      <x:c r="E52" s="197"/>
      <x:c r="F52" s="197"/>
      <x:c r="G52" s="197"/>
      <x:c r="H52" s="197"/>
      <x:c r="I52" s="197"/>
      <x:c r="J52" s="197"/>
      <x:c r="K52" s="198" t="n">
        <x:f>F52+H52+I52+J52</x:f>
        <x:v>0</x:v>
      </x:c>
      <x:c r="L52" s="198" t="n">
        <x:f>SUMIFS('Costi &amp; Tool'!$G:$G,'Costi &amp; Tool'!$C:$C,A52,'Costi &amp; Tool'!$H:$H,"Sì")</x:f>
        <x:v>0</x:v>
      </x:c>
      <x:c r="M52" s="197"/>
      <x:c r="N52" s="197"/>
      <x:c r="O52" s="197"/>
      <x:c r="P52" s="198" t="n">
        <x:f>L52+M52+N52+O52</x:f>
        <x:v>0</x:v>
      </x:c>
      <x:c r="Q52" s="198" t="n">
        <x:f>SUMIFS('Attività &amp; Tempi'!$N:$N,'Attività &amp; Tempi'!$A:$A,A52,'Attività &amp; Tempi'!$E:$E,"Fabio")</x:f>
        <x:v>0</x:v>
      </x:c>
      <x:c r="R52" s="198" t="n">
        <x:f>SUMIFS('Attività &amp; Tempi'!$N:$N,'Attività &amp; Tempi'!$A:$A,A52,'Attività &amp; Tempi'!$E:$E,"Frego")</x:f>
        <x:v>0</x:v>
      </x:c>
      <x:c r="S52" s="198" t="n">
        <x:f>SUMIFS('Attività &amp; Tempi'!$N:$N,'Attività &amp; Tempi'!$A:$A,A52,'Attività &amp; Tempi'!$E:$E,"Jessica")</x:f>
        <x:v>0</x:v>
      </x:c>
      <x:c r="T52" s="198" t="n">
        <x:f>Q52*Impostazioni!$B$4+R52*Impostazioni!$B$5+S52*Impostazioni!$B$6</x:f>
        <x:v>0</x:v>
      </x:c>
      <x:c r="U52" s="197"/>
      <x:c r="V52" s="198" t="n">
        <x:f>IF(1-U52=0,"",ROUND((P52+T52)/(1-U52),0))</x:f>
        <x:v>0</x:v>
      </x:c>
      <x:c r="W52" s="198" t="n">
        <x:f>K52-P52</x:f>
        <x:v>0</x:v>
      </x:c>
      <x:c r="X52" s="198" t="n">
        <x:f>IF(K52=0,0,W52/K52)</x:f>
        <x:v>0</x:v>
      </x:c>
      <x:c r="Y52" s="198" t="str">
        <x:f>IF(K52&lt;V52,IF(OR(C52="Strategico / caso studio",C52="Partnership"),"Strategico ma sottoprezzato","Cliente sottoprezzato"),IF(X52&lt;0.3,"Cliente da rinegoziare",IF((Q52+R52+S52)&gt;80,"Cliente troppo pesante","Cliente sano")))</x:f>
        <x:v>Cliente da rinegoziare</x:v>
      </x:c>
      <x:c r="Z52" s="198" t="n">
        <x:f>MAX(W52,0)/2</x:f>
        <x:v>0</x:v>
      </x:c>
      <x:c r="AA52" s="198" t="n">
        <x:f>MAX(W52,0)/2</x:f>
        <x:v>0</x:v>
      </x:c>
      <x:c r="AB52" s="198" t="n">
        <x:f>Z52*Impostazioni!$B$7*Impostazioni!$B$8</x:f>
        <x:v>0</x:v>
      </x:c>
      <x:c r="AC52" s="198" t="n">
        <x:f>MAX(Z52*Impostazioni!$B$7-AB52,0)*Impostazioni!$B$9</x:f>
        <x:v>0</x:v>
      </x:c>
      <x:c r="AD52" s="198" t="n">
        <x:f>Z52-AB52-AC52</x:f>
        <x:v>0</x:v>
      </x:c>
      <x:c r="AE52" s="198" t="n">
        <x:f>IF(Q52=0,0,AD52/Q52)</x:f>
        <x:v>0</x:v>
      </x:c>
      <x:c r="AF52" s="198" t="n">
        <x:f>AA52-(AA52*Impostazioni!$B$7*Impostazioni!$B$8)-MAX(AA52*Impostazioni!$B$7-(AA52*Impostazioni!$B$7*Impostazioni!$B$8),0)*Impostazioni!$B$9</x:f>
        <x:v>0</x:v>
      </x:c>
      <x:c r="AG52" s="198" t="n">
        <x:f>IF(R52=0,0,AF52/R52)</x:f>
        <x:v>0</x:v>
      </x:c>
    </x:row>
    <x:row r="53">
      <x:c r="A53" s="197"/>
      <x:c r="B53" s="197"/>
      <x:c r="C53" s="197"/>
      <x:c r="D53" s="197"/>
      <x:c r="E53" s="197"/>
      <x:c r="F53" s="197"/>
      <x:c r="G53" s="197"/>
      <x:c r="H53" s="197"/>
      <x:c r="I53" s="197"/>
      <x:c r="J53" s="197"/>
      <x:c r="K53" s="198" t="n">
        <x:f>F53+H53+I53+J53</x:f>
        <x:v>0</x:v>
      </x:c>
      <x:c r="L53" s="198" t="n">
        <x:f>SUMIFS('Costi &amp; Tool'!$G:$G,'Costi &amp; Tool'!$C:$C,A53,'Costi &amp; Tool'!$H:$H,"Sì")</x:f>
        <x:v>0</x:v>
      </x:c>
      <x:c r="M53" s="197"/>
      <x:c r="N53" s="197"/>
      <x:c r="O53" s="197"/>
      <x:c r="P53" s="198" t="n">
        <x:f>L53+M53+N53+O53</x:f>
        <x:v>0</x:v>
      </x:c>
      <x:c r="Q53" s="198" t="n">
        <x:f>SUMIFS('Attività &amp; Tempi'!$N:$N,'Attività &amp; Tempi'!$A:$A,A53,'Attività &amp; Tempi'!$E:$E,"Fabio")</x:f>
        <x:v>0</x:v>
      </x:c>
      <x:c r="R53" s="198" t="n">
        <x:f>SUMIFS('Attività &amp; Tempi'!$N:$N,'Attività &amp; Tempi'!$A:$A,A53,'Attività &amp; Tempi'!$E:$E,"Frego")</x:f>
        <x:v>0</x:v>
      </x:c>
      <x:c r="S53" s="198" t="n">
        <x:f>SUMIFS('Attività &amp; Tempi'!$N:$N,'Attività &amp; Tempi'!$A:$A,A53,'Attività &amp; Tempi'!$E:$E,"Jessica")</x:f>
        <x:v>0</x:v>
      </x:c>
      <x:c r="T53" s="198" t="n">
        <x:f>Q53*Impostazioni!$B$4+R53*Impostazioni!$B$5+S53*Impostazioni!$B$6</x:f>
        <x:v>0</x:v>
      </x:c>
      <x:c r="U53" s="197"/>
      <x:c r="V53" s="198" t="n">
        <x:f>IF(1-U53=0,"",ROUND((P53+T53)/(1-U53),0))</x:f>
        <x:v>0</x:v>
      </x:c>
      <x:c r="W53" s="198" t="n">
        <x:f>K53-P53</x:f>
        <x:v>0</x:v>
      </x:c>
      <x:c r="X53" s="198" t="n">
        <x:f>IF(K53=0,0,W53/K53)</x:f>
        <x:v>0</x:v>
      </x:c>
      <x:c r="Y53" s="198" t="str">
        <x:f>IF(K53&lt;V53,IF(OR(C53="Strategico / caso studio",C53="Partnership"),"Strategico ma sottoprezzato","Cliente sottoprezzato"),IF(X53&lt;0.3,"Cliente da rinegoziare",IF((Q53+R53+S53)&gt;80,"Cliente troppo pesante","Cliente sano")))</x:f>
        <x:v>Cliente da rinegoziare</x:v>
      </x:c>
      <x:c r="Z53" s="198" t="n">
        <x:f>MAX(W53,0)/2</x:f>
        <x:v>0</x:v>
      </x:c>
      <x:c r="AA53" s="198" t="n">
        <x:f>MAX(W53,0)/2</x:f>
        <x:v>0</x:v>
      </x:c>
      <x:c r="AB53" s="198" t="n">
        <x:f>Z53*Impostazioni!$B$7*Impostazioni!$B$8</x:f>
        <x:v>0</x:v>
      </x:c>
      <x:c r="AC53" s="198" t="n">
        <x:f>MAX(Z53*Impostazioni!$B$7-AB53,0)*Impostazioni!$B$9</x:f>
        <x:v>0</x:v>
      </x:c>
      <x:c r="AD53" s="198" t="n">
        <x:f>Z53-AB53-AC53</x:f>
        <x:v>0</x:v>
      </x:c>
      <x:c r="AE53" s="198" t="n">
        <x:f>IF(Q53=0,0,AD53/Q53)</x:f>
        <x:v>0</x:v>
      </x:c>
      <x:c r="AF53" s="198" t="n">
        <x:f>AA53-(AA53*Impostazioni!$B$7*Impostazioni!$B$8)-MAX(AA53*Impostazioni!$B$7-(AA53*Impostazioni!$B$7*Impostazioni!$B$8),0)*Impostazioni!$B$9</x:f>
        <x:v>0</x:v>
      </x:c>
      <x:c r="AG53" s="198" t="n">
        <x:f>IF(R53=0,0,AF53/R53)</x:f>
        <x:v>0</x:v>
      </x:c>
    </x:row>
    <x:row r="54">
      <x:c r="A54" s="197"/>
      <x:c r="B54" s="197"/>
      <x:c r="C54" s="197"/>
      <x:c r="D54" s="197"/>
      <x:c r="E54" s="197"/>
      <x:c r="F54" s="197"/>
      <x:c r="G54" s="197"/>
      <x:c r="H54" s="197"/>
      <x:c r="I54" s="197"/>
      <x:c r="J54" s="197"/>
      <x:c r="K54" s="198" t="n">
        <x:f>F54+H54+I54+J54</x:f>
        <x:v>0</x:v>
      </x:c>
      <x:c r="L54" s="198" t="n">
        <x:f>SUMIFS('Costi &amp; Tool'!$G:$G,'Costi &amp; Tool'!$C:$C,A54,'Costi &amp; Tool'!$H:$H,"Sì")</x:f>
        <x:v>0</x:v>
      </x:c>
      <x:c r="M54" s="197"/>
      <x:c r="N54" s="197"/>
      <x:c r="O54" s="197"/>
      <x:c r="P54" s="198" t="n">
        <x:f>L54+M54+N54+O54</x:f>
        <x:v>0</x:v>
      </x:c>
      <x:c r="Q54" s="198" t="n">
        <x:f>SUMIFS('Attività &amp; Tempi'!$N:$N,'Attività &amp; Tempi'!$A:$A,A54,'Attività &amp; Tempi'!$E:$E,"Fabio")</x:f>
        <x:v>0</x:v>
      </x:c>
      <x:c r="R54" s="198" t="n">
        <x:f>SUMIFS('Attività &amp; Tempi'!$N:$N,'Attività &amp; Tempi'!$A:$A,A54,'Attività &amp; Tempi'!$E:$E,"Frego")</x:f>
        <x:v>0</x:v>
      </x:c>
      <x:c r="S54" s="198" t="n">
        <x:f>SUMIFS('Attività &amp; Tempi'!$N:$N,'Attività &amp; Tempi'!$A:$A,A54,'Attività &amp; Tempi'!$E:$E,"Jessica")</x:f>
        <x:v>0</x:v>
      </x:c>
      <x:c r="T54" s="198" t="n">
        <x:f>Q54*Impostazioni!$B$4+R54*Impostazioni!$B$5+S54*Impostazioni!$B$6</x:f>
        <x:v>0</x:v>
      </x:c>
      <x:c r="U54" s="197"/>
      <x:c r="V54" s="198" t="n">
        <x:f>IF(1-U54=0,"",ROUND((P54+T54)/(1-U54),0))</x:f>
        <x:v>0</x:v>
      </x:c>
      <x:c r="W54" s="198" t="n">
        <x:f>K54-P54</x:f>
        <x:v>0</x:v>
      </x:c>
      <x:c r="X54" s="198" t="n">
        <x:f>IF(K54=0,0,W54/K54)</x:f>
        <x:v>0</x:v>
      </x:c>
      <x:c r="Y54" s="198" t="str">
        <x:f>IF(K54&lt;V54,IF(OR(C54="Strategico / caso studio",C54="Partnership"),"Strategico ma sottoprezzato","Cliente sottoprezzato"),IF(X54&lt;0.3,"Cliente da rinegoziare",IF((Q54+R54+S54)&gt;80,"Cliente troppo pesante","Cliente sano")))</x:f>
        <x:v>Cliente da rinegoziare</x:v>
      </x:c>
      <x:c r="Z54" s="198" t="n">
        <x:f>MAX(W54,0)/2</x:f>
        <x:v>0</x:v>
      </x:c>
      <x:c r="AA54" s="198" t="n">
        <x:f>MAX(W54,0)/2</x:f>
        <x:v>0</x:v>
      </x:c>
      <x:c r="AB54" s="198" t="n">
        <x:f>Z54*Impostazioni!$B$7*Impostazioni!$B$8</x:f>
        <x:v>0</x:v>
      </x:c>
      <x:c r="AC54" s="198" t="n">
        <x:f>MAX(Z54*Impostazioni!$B$7-AB54,0)*Impostazioni!$B$9</x:f>
        <x:v>0</x:v>
      </x:c>
      <x:c r="AD54" s="198" t="n">
        <x:f>Z54-AB54-AC54</x:f>
        <x:v>0</x:v>
      </x:c>
      <x:c r="AE54" s="198" t="n">
        <x:f>IF(Q54=0,0,AD54/Q54)</x:f>
        <x:v>0</x:v>
      </x:c>
      <x:c r="AF54" s="198" t="n">
        <x:f>AA54-(AA54*Impostazioni!$B$7*Impostazioni!$B$8)-MAX(AA54*Impostazioni!$B$7-(AA54*Impostazioni!$B$7*Impostazioni!$B$8),0)*Impostazioni!$B$9</x:f>
        <x:v>0</x:v>
      </x:c>
      <x:c r="AG54" s="198" t="n">
        <x:f>IF(R54=0,0,AF54/R54)</x:f>
        <x:v>0</x:v>
      </x:c>
    </x:row>
    <x:row r="55">
      <x:c r="A55" s="197"/>
      <x:c r="B55" s="197"/>
      <x:c r="C55" s="197"/>
      <x:c r="D55" s="197"/>
      <x:c r="E55" s="197"/>
      <x:c r="F55" s="197"/>
      <x:c r="G55" s="197"/>
      <x:c r="H55" s="197"/>
      <x:c r="I55" s="197"/>
      <x:c r="J55" s="197"/>
      <x:c r="K55" s="198" t="n">
        <x:f>F55+H55+I55+J55</x:f>
        <x:v>0</x:v>
      </x:c>
      <x:c r="L55" s="198" t="n">
        <x:f>SUMIFS('Costi &amp; Tool'!$G:$G,'Costi &amp; Tool'!$C:$C,A55,'Costi &amp; Tool'!$H:$H,"Sì")</x:f>
        <x:v>0</x:v>
      </x:c>
      <x:c r="M55" s="197"/>
      <x:c r="N55" s="197"/>
      <x:c r="O55" s="197"/>
      <x:c r="P55" s="198" t="n">
        <x:f>L55+M55+N55+O55</x:f>
        <x:v>0</x:v>
      </x:c>
      <x:c r="Q55" s="198" t="n">
        <x:f>SUMIFS('Attività &amp; Tempi'!$N:$N,'Attività &amp; Tempi'!$A:$A,A55,'Attività &amp; Tempi'!$E:$E,"Fabio")</x:f>
        <x:v>0</x:v>
      </x:c>
      <x:c r="R55" s="198" t="n">
        <x:f>SUMIFS('Attività &amp; Tempi'!$N:$N,'Attività &amp; Tempi'!$A:$A,A55,'Attività &amp; Tempi'!$E:$E,"Frego")</x:f>
        <x:v>0</x:v>
      </x:c>
      <x:c r="S55" s="198" t="n">
        <x:f>SUMIFS('Attività &amp; Tempi'!$N:$N,'Attività &amp; Tempi'!$A:$A,A55,'Attività &amp; Tempi'!$E:$E,"Jessica")</x:f>
        <x:v>0</x:v>
      </x:c>
      <x:c r="T55" s="198" t="n">
        <x:f>Q55*Impostazioni!$B$4+R55*Impostazioni!$B$5+S55*Impostazioni!$B$6</x:f>
        <x:v>0</x:v>
      </x:c>
      <x:c r="U55" s="197"/>
      <x:c r="V55" s="198" t="n">
        <x:f>IF(1-U55=0,"",ROUND((P55+T55)/(1-U55),0))</x:f>
        <x:v>0</x:v>
      </x:c>
      <x:c r="W55" s="198" t="n">
        <x:f>K55-P55</x:f>
        <x:v>0</x:v>
      </x:c>
      <x:c r="X55" s="198" t="n">
        <x:f>IF(K55=0,0,W55/K55)</x:f>
        <x:v>0</x:v>
      </x:c>
      <x:c r="Y55" s="198" t="str">
        <x:f>IF(K55&lt;V55,IF(OR(C55="Strategico / caso studio",C55="Partnership"),"Strategico ma sottoprezzato","Cliente sottoprezzato"),IF(X55&lt;0.3,"Cliente da rinegoziare",IF((Q55+R55+S55)&gt;80,"Cliente troppo pesante","Cliente sano")))</x:f>
        <x:v>Cliente da rinegoziare</x:v>
      </x:c>
      <x:c r="Z55" s="198" t="n">
        <x:f>MAX(W55,0)/2</x:f>
        <x:v>0</x:v>
      </x:c>
      <x:c r="AA55" s="198" t="n">
        <x:f>MAX(W55,0)/2</x:f>
        <x:v>0</x:v>
      </x:c>
      <x:c r="AB55" s="198" t="n">
        <x:f>Z55*Impostazioni!$B$7*Impostazioni!$B$8</x:f>
        <x:v>0</x:v>
      </x:c>
      <x:c r="AC55" s="198" t="n">
        <x:f>MAX(Z55*Impostazioni!$B$7-AB55,0)*Impostazioni!$B$9</x:f>
        <x:v>0</x:v>
      </x:c>
      <x:c r="AD55" s="198" t="n">
        <x:f>Z55-AB55-AC55</x:f>
        <x:v>0</x:v>
      </x:c>
      <x:c r="AE55" s="198" t="n">
        <x:f>IF(Q55=0,0,AD55/Q55)</x:f>
        <x:v>0</x:v>
      </x:c>
      <x:c r="AF55" s="198" t="n">
        <x:f>AA55-(AA55*Impostazioni!$B$7*Impostazioni!$B$8)-MAX(AA55*Impostazioni!$B$7-(AA55*Impostazioni!$B$7*Impostazioni!$B$8),0)*Impostazioni!$B$9</x:f>
        <x:v>0</x:v>
      </x:c>
      <x:c r="AG55" s="198" t="n">
        <x:f>IF(R55=0,0,AF55/R55)</x:f>
        <x:v>0</x:v>
      </x:c>
    </x:row>
    <x:row r="56">
      <x:c r="A56" s="197"/>
      <x:c r="B56" s="197"/>
      <x:c r="C56" s="197"/>
      <x:c r="D56" s="197"/>
      <x:c r="E56" s="197"/>
      <x:c r="F56" s="197"/>
      <x:c r="G56" s="197"/>
      <x:c r="H56" s="197"/>
      <x:c r="I56" s="197"/>
      <x:c r="J56" s="197"/>
      <x:c r="K56" s="198" t="n">
        <x:f>F56+H56+I56+J56</x:f>
        <x:v>0</x:v>
      </x:c>
      <x:c r="L56" s="198" t="n">
        <x:f>SUMIFS('Costi &amp; Tool'!$G:$G,'Costi &amp; Tool'!$C:$C,A56,'Costi &amp; Tool'!$H:$H,"Sì")</x:f>
        <x:v>0</x:v>
      </x:c>
      <x:c r="M56" s="197"/>
      <x:c r="N56" s="197"/>
      <x:c r="O56" s="197"/>
      <x:c r="P56" s="198" t="n">
        <x:f>L56+M56+N56+O56</x:f>
        <x:v>0</x:v>
      </x:c>
      <x:c r="Q56" s="198" t="n">
        <x:f>SUMIFS('Attività &amp; Tempi'!$N:$N,'Attività &amp; Tempi'!$A:$A,A56,'Attività &amp; Tempi'!$E:$E,"Fabio")</x:f>
        <x:v>0</x:v>
      </x:c>
      <x:c r="R56" s="198" t="n">
        <x:f>SUMIFS('Attività &amp; Tempi'!$N:$N,'Attività &amp; Tempi'!$A:$A,A56,'Attività &amp; Tempi'!$E:$E,"Frego")</x:f>
        <x:v>0</x:v>
      </x:c>
      <x:c r="S56" s="198" t="n">
        <x:f>SUMIFS('Attività &amp; Tempi'!$N:$N,'Attività &amp; Tempi'!$A:$A,A56,'Attività &amp; Tempi'!$E:$E,"Jessica")</x:f>
        <x:v>0</x:v>
      </x:c>
      <x:c r="T56" s="198" t="n">
        <x:f>Q56*Impostazioni!$B$4+R56*Impostazioni!$B$5+S56*Impostazioni!$B$6</x:f>
        <x:v>0</x:v>
      </x:c>
      <x:c r="U56" s="197"/>
      <x:c r="V56" s="198" t="n">
        <x:f>IF(1-U56=0,"",ROUND((P56+T56)/(1-U56),0))</x:f>
        <x:v>0</x:v>
      </x:c>
      <x:c r="W56" s="198" t="n">
        <x:f>K56-P56</x:f>
        <x:v>0</x:v>
      </x:c>
      <x:c r="X56" s="198" t="n">
        <x:f>IF(K56=0,0,W56/K56)</x:f>
        <x:v>0</x:v>
      </x:c>
      <x:c r="Y56" s="198" t="str">
        <x:f>IF(K56&lt;V56,IF(OR(C56="Strategico / caso studio",C56="Partnership"),"Strategico ma sottoprezzato","Cliente sottoprezzato"),IF(X56&lt;0.3,"Cliente da rinegoziare",IF((Q56+R56+S56)&gt;80,"Cliente troppo pesante","Cliente sano")))</x:f>
        <x:v>Cliente da rinegoziare</x:v>
      </x:c>
      <x:c r="Z56" s="198" t="n">
        <x:f>MAX(W56,0)/2</x:f>
        <x:v>0</x:v>
      </x:c>
      <x:c r="AA56" s="198" t="n">
        <x:f>MAX(W56,0)/2</x:f>
        <x:v>0</x:v>
      </x:c>
      <x:c r="AB56" s="198" t="n">
        <x:f>Z56*Impostazioni!$B$7*Impostazioni!$B$8</x:f>
        <x:v>0</x:v>
      </x:c>
      <x:c r="AC56" s="198" t="n">
        <x:f>MAX(Z56*Impostazioni!$B$7-AB56,0)*Impostazioni!$B$9</x:f>
        <x:v>0</x:v>
      </x:c>
      <x:c r="AD56" s="198" t="n">
        <x:f>Z56-AB56-AC56</x:f>
        <x:v>0</x:v>
      </x:c>
      <x:c r="AE56" s="198" t="n">
        <x:f>IF(Q56=0,0,AD56/Q56)</x:f>
        <x:v>0</x:v>
      </x:c>
      <x:c r="AF56" s="198" t="n">
        <x:f>AA56-(AA56*Impostazioni!$B$7*Impostazioni!$B$8)-MAX(AA56*Impostazioni!$B$7-(AA56*Impostazioni!$B$7*Impostazioni!$B$8),0)*Impostazioni!$B$9</x:f>
        <x:v>0</x:v>
      </x:c>
      <x:c r="AG56" s="198" t="n">
        <x:f>IF(R56=0,0,AF56/R56)</x:f>
        <x:v>0</x:v>
      </x:c>
    </x:row>
    <x:row r="57">
      <x:c r="A57" s="197"/>
      <x:c r="B57" s="197"/>
      <x:c r="C57" s="197"/>
      <x:c r="D57" s="197"/>
      <x:c r="E57" s="197"/>
      <x:c r="F57" s="197"/>
      <x:c r="G57" s="197"/>
      <x:c r="H57" s="197"/>
      <x:c r="I57" s="197"/>
      <x:c r="J57" s="197"/>
      <x:c r="K57" s="198" t="n">
        <x:f>F57+H57+I57+J57</x:f>
        <x:v>0</x:v>
      </x:c>
      <x:c r="L57" s="198" t="n">
        <x:f>SUMIFS('Costi &amp; Tool'!$G:$G,'Costi &amp; Tool'!$C:$C,A57,'Costi &amp; Tool'!$H:$H,"Sì")</x:f>
        <x:v>0</x:v>
      </x:c>
      <x:c r="M57" s="197"/>
      <x:c r="N57" s="197"/>
      <x:c r="O57" s="197"/>
      <x:c r="P57" s="198" t="n">
        <x:f>L57+M57+N57+O57</x:f>
        <x:v>0</x:v>
      </x:c>
      <x:c r="Q57" s="198" t="n">
        <x:f>SUMIFS('Attività &amp; Tempi'!$N:$N,'Attività &amp; Tempi'!$A:$A,A57,'Attività &amp; Tempi'!$E:$E,"Fabio")</x:f>
        <x:v>0</x:v>
      </x:c>
      <x:c r="R57" s="198" t="n">
        <x:f>SUMIFS('Attività &amp; Tempi'!$N:$N,'Attività &amp; Tempi'!$A:$A,A57,'Attività &amp; Tempi'!$E:$E,"Frego")</x:f>
        <x:v>0</x:v>
      </x:c>
      <x:c r="S57" s="198" t="n">
        <x:f>SUMIFS('Attività &amp; Tempi'!$N:$N,'Attività &amp; Tempi'!$A:$A,A57,'Attività &amp; Tempi'!$E:$E,"Jessica")</x:f>
        <x:v>0</x:v>
      </x:c>
      <x:c r="T57" s="198" t="n">
        <x:f>Q57*Impostazioni!$B$4+R57*Impostazioni!$B$5+S57*Impostazioni!$B$6</x:f>
        <x:v>0</x:v>
      </x:c>
      <x:c r="U57" s="197"/>
      <x:c r="V57" s="198" t="n">
        <x:f>IF(1-U57=0,"",ROUND((P57+T57)/(1-U57),0))</x:f>
        <x:v>0</x:v>
      </x:c>
      <x:c r="W57" s="198" t="n">
        <x:f>K57-P57</x:f>
        <x:v>0</x:v>
      </x:c>
      <x:c r="X57" s="198" t="n">
        <x:f>IF(K57=0,0,W57/K57)</x:f>
        <x:v>0</x:v>
      </x:c>
      <x:c r="Y57" s="198" t="str">
        <x:f>IF(K57&lt;V57,IF(OR(C57="Strategico / caso studio",C57="Partnership"),"Strategico ma sottoprezzato","Cliente sottoprezzato"),IF(X57&lt;0.3,"Cliente da rinegoziare",IF((Q57+R57+S57)&gt;80,"Cliente troppo pesante","Cliente sano")))</x:f>
        <x:v>Cliente da rinegoziare</x:v>
      </x:c>
      <x:c r="Z57" s="198" t="n">
        <x:f>MAX(W57,0)/2</x:f>
        <x:v>0</x:v>
      </x:c>
      <x:c r="AA57" s="198" t="n">
        <x:f>MAX(W57,0)/2</x:f>
        <x:v>0</x:v>
      </x:c>
      <x:c r="AB57" s="198" t="n">
        <x:f>Z57*Impostazioni!$B$7*Impostazioni!$B$8</x:f>
        <x:v>0</x:v>
      </x:c>
      <x:c r="AC57" s="198" t="n">
        <x:f>MAX(Z57*Impostazioni!$B$7-AB57,0)*Impostazioni!$B$9</x:f>
        <x:v>0</x:v>
      </x:c>
      <x:c r="AD57" s="198" t="n">
        <x:f>Z57-AB57-AC57</x:f>
        <x:v>0</x:v>
      </x:c>
      <x:c r="AE57" s="198" t="n">
        <x:f>IF(Q57=0,0,AD57/Q57)</x:f>
        <x:v>0</x:v>
      </x:c>
      <x:c r="AF57" s="198" t="n">
        <x:f>AA57-(AA57*Impostazioni!$B$7*Impostazioni!$B$8)-MAX(AA57*Impostazioni!$B$7-(AA57*Impostazioni!$B$7*Impostazioni!$B$8),0)*Impostazioni!$B$9</x:f>
        <x:v>0</x:v>
      </x:c>
      <x:c r="AG57" s="198" t="n">
        <x:f>IF(R57=0,0,AF57/R57)</x:f>
        <x:v>0</x:v>
      </x:c>
    </x:row>
    <x:row r="58">
      <x:c r="A58" s="197"/>
      <x:c r="B58" s="197"/>
      <x:c r="C58" s="197"/>
      <x:c r="D58" s="197"/>
      <x:c r="E58" s="197"/>
      <x:c r="F58" s="197"/>
      <x:c r="G58" s="197"/>
      <x:c r="H58" s="197"/>
      <x:c r="I58" s="197"/>
      <x:c r="J58" s="197"/>
      <x:c r="K58" s="198" t="n">
        <x:f>F58+H58+I58+J58</x:f>
        <x:v>0</x:v>
      </x:c>
      <x:c r="L58" s="198" t="n">
        <x:f>SUMIFS('Costi &amp; Tool'!$G:$G,'Costi &amp; Tool'!$C:$C,A58,'Costi &amp; Tool'!$H:$H,"Sì")</x:f>
        <x:v>0</x:v>
      </x:c>
      <x:c r="M58" s="197"/>
      <x:c r="N58" s="197"/>
      <x:c r="O58" s="197"/>
      <x:c r="P58" s="198" t="n">
        <x:f>L58+M58+N58+O58</x:f>
        <x:v>0</x:v>
      </x:c>
      <x:c r="Q58" s="198" t="n">
        <x:f>SUMIFS('Attività &amp; Tempi'!$N:$N,'Attività &amp; Tempi'!$A:$A,A58,'Attività &amp; Tempi'!$E:$E,"Fabio")</x:f>
        <x:v>0</x:v>
      </x:c>
      <x:c r="R58" s="198" t="n">
        <x:f>SUMIFS('Attività &amp; Tempi'!$N:$N,'Attività &amp; Tempi'!$A:$A,A58,'Attività &amp; Tempi'!$E:$E,"Frego")</x:f>
        <x:v>0</x:v>
      </x:c>
      <x:c r="S58" s="198" t="n">
        <x:f>SUMIFS('Attività &amp; Tempi'!$N:$N,'Attività &amp; Tempi'!$A:$A,A58,'Attività &amp; Tempi'!$E:$E,"Jessica")</x:f>
        <x:v>0</x:v>
      </x:c>
      <x:c r="T58" s="198" t="n">
        <x:f>Q58*Impostazioni!$B$4+R58*Impostazioni!$B$5+S58*Impostazioni!$B$6</x:f>
        <x:v>0</x:v>
      </x:c>
      <x:c r="U58" s="197"/>
      <x:c r="V58" s="198" t="n">
        <x:f>IF(1-U58=0,"",ROUND((P58+T58)/(1-U58),0))</x:f>
        <x:v>0</x:v>
      </x:c>
      <x:c r="W58" s="198" t="n">
        <x:f>K58-P58</x:f>
        <x:v>0</x:v>
      </x:c>
      <x:c r="X58" s="198" t="n">
        <x:f>IF(K58=0,0,W58/K58)</x:f>
        <x:v>0</x:v>
      </x:c>
      <x:c r="Y58" s="198" t="str">
        <x:f>IF(K58&lt;V58,IF(OR(C58="Strategico / caso studio",C58="Partnership"),"Strategico ma sottoprezzato","Cliente sottoprezzato"),IF(X58&lt;0.3,"Cliente da rinegoziare",IF((Q58+R58+S58)&gt;80,"Cliente troppo pesante","Cliente sano")))</x:f>
        <x:v>Cliente da rinegoziare</x:v>
      </x:c>
      <x:c r="Z58" s="198" t="n">
        <x:f>MAX(W58,0)/2</x:f>
        <x:v>0</x:v>
      </x:c>
      <x:c r="AA58" s="198" t="n">
        <x:f>MAX(W58,0)/2</x:f>
        <x:v>0</x:v>
      </x:c>
      <x:c r="AB58" s="198" t="n">
        <x:f>Z58*Impostazioni!$B$7*Impostazioni!$B$8</x:f>
        <x:v>0</x:v>
      </x:c>
      <x:c r="AC58" s="198" t="n">
        <x:f>MAX(Z58*Impostazioni!$B$7-AB58,0)*Impostazioni!$B$9</x:f>
        <x:v>0</x:v>
      </x:c>
      <x:c r="AD58" s="198" t="n">
        <x:f>Z58-AB58-AC58</x:f>
        <x:v>0</x:v>
      </x:c>
      <x:c r="AE58" s="198" t="n">
        <x:f>IF(Q58=0,0,AD58/Q58)</x:f>
        <x:v>0</x:v>
      </x:c>
      <x:c r="AF58" s="198" t="n">
        <x:f>AA58-(AA58*Impostazioni!$B$7*Impostazioni!$B$8)-MAX(AA58*Impostazioni!$B$7-(AA58*Impostazioni!$B$7*Impostazioni!$B$8),0)*Impostazioni!$B$9</x:f>
        <x:v>0</x:v>
      </x:c>
      <x:c r="AG58" s="198" t="n">
        <x:f>IF(R58=0,0,AF58/R58)</x:f>
        <x:v>0</x:v>
      </x:c>
    </x:row>
    <x:row r="59">
      <x:c r="A59" s="197"/>
      <x:c r="B59" s="197"/>
      <x:c r="C59" s="197"/>
      <x:c r="D59" s="197"/>
      <x:c r="E59" s="197"/>
      <x:c r="F59" s="197"/>
      <x:c r="G59" s="197"/>
      <x:c r="H59" s="197"/>
      <x:c r="I59" s="197"/>
      <x:c r="J59" s="197"/>
      <x:c r="K59" s="198" t="n">
        <x:f>F59+H59+I59+J59</x:f>
        <x:v>0</x:v>
      </x:c>
      <x:c r="L59" s="198" t="n">
        <x:f>SUMIFS('Costi &amp; Tool'!$G:$G,'Costi &amp; Tool'!$C:$C,A59,'Costi &amp; Tool'!$H:$H,"Sì")</x:f>
        <x:v>0</x:v>
      </x:c>
      <x:c r="M59" s="197"/>
      <x:c r="N59" s="197"/>
      <x:c r="O59" s="197"/>
      <x:c r="P59" s="198" t="n">
        <x:f>L59+M59+N59+O59</x:f>
        <x:v>0</x:v>
      </x:c>
      <x:c r="Q59" s="198" t="n">
        <x:f>SUMIFS('Attività &amp; Tempi'!$N:$N,'Attività &amp; Tempi'!$A:$A,A59,'Attività &amp; Tempi'!$E:$E,"Fabio")</x:f>
        <x:v>0</x:v>
      </x:c>
      <x:c r="R59" s="198" t="n">
        <x:f>SUMIFS('Attività &amp; Tempi'!$N:$N,'Attività &amp; Tempi'!$A:$A,A59,'Attività &amp; Tempi'!$E:$E,"Frego")</x:f>
        <x:v>0</x:v>
      </x:c>
      <x:c r="S59" s="198" t="n">
        <x:f>SUMIFS('Attività &amp; Tempi'!$N:$N,'Attività &amp; Tempi'!$A:$A,A59,'Attività &amp; Tempi'!$E:$E,"Jessica")</x:f>
        <x:v>0</x:v>
      </x:c>
      <x:c r="T59" s="198" t="n">
        <x:f>Q59*Impostazioni!$B$4+R59*Impostazioni!$B$5+S59*Impostazioni!$B$6</x:f>
        <x:v>0</x:v>
      </x:c>
      <x:c r="U59" s="197"/>
      <x:c r="V59" s="198" t="n">
        <x:f>IF(1-U59=0,"",ROUND((P59+T59)/(1-U59),0))</x:f>
        <x:v>0</x:v>
      </x:c>
      <x:c r="W59" s="198" t="n">
        <x:f>K59-P59</x:f>
        <x:v>0</x:v>
      </x:c>
      <x:c r="X59" s="198" t="n">
        <x:f>IF(K59=0,0,W59/K59)</x:f>
        <x:v>0</x:v>
      </x:c>
      <x:c r="Y59" s="198" t="str">
        <x:f>IF(K59&lt;V59,IF(OR(C59="Strategico / caso studio",C59="Partnership"),"Strategico ma sottoprezzato","Cliente sottoprezzato"),IF(X59&lt;0.3,"Cliente da rinegoziare",IF((Q59+R59+S59)&gt;80,"Cliente troppo pesante","Cliente sano")))</x:f>
        <x:v>Cliente da rinegoziare</x:v>
      </x:c>
      <x:c r="Z59" s="198" t="n">
        <x:f>MAX(W59,0)/2</x:f>
        <x:v>0</x:v>
      </x:c>
      <x:c r="AA59" s="198" t="n">
        <x:f>MAX(W59,0)/2</x:f>
        <x:v>0</x:v>
      </x:c>
      <x:c r="AB59" s="198" t="n">
        <x:f>Z59*Impostazioni!$B$7*Impostazioni!$B$8</x:f>
        <x:v>0</x:v>
      </x:c>
      <x:c r="AC59" s="198" t="n">
        <x:f>MAX(Z59*Impostazioni!$B$7-AB59,0)*Impostazioni!$B$9</x:f>
        <x:v>0</x:v>
      </x:c>
      <x:c r="AD59" s="198" t="n">
        <x:f>Z59-AB59-AC59</x:f>
        <x:v>0</x:v>
      </x:c>
      <x:c r="AE59" s="198" t="n">
        <x:f>IF(Q59=0,0,AD59/Q59)</x:f>
        <x:v>0</x:v>
      </x:c>
      <x:c r="AF59" s="198" t="n">
        <x:f>AA59-(AA59*Impostazioni!$B$7*Impostazioni!$B$8)-MAX(AA59*Impostazioni!$B$7-(AA59*Impostazioni!$B$7*Impostazioni!$B$8),0)*Impostazioni!$B$9</x:f>
        <x:v>0</x:v>
      </x:c>
      <x:c r="AG59" s="198" t="n">
        <x:f>IF(R59=0,0,AF59/R59)</x:f>
        <x:v>0</x:v>
      </x:c>
    </x:row>
    <x:row r="60">
      <x:c r="A60" s="197"/>
      <x:c r="B60" s="197"/>
      <x:c r="C60" s="197"/>
      <x:c r="D60" s="197"/>
      <x:c r="E60" s="197"/>
      <x:c r="F60" s="197"/>
      <x:c r="G60" s="197"/>
      <x:c r="H60" s="197"/>
      <x:c r="I60" s="197"/>
      <x:c r="J60" s="197"/>
      <x:c r="K60" s="198" t="n">
        <x:f>F60+H60+I60+J60</x:f>
        <x:v>0</x:v>
      </x:c>
      <x:c r="L60" s="198" t="n">
        <x:f>SUMIFS('Costi &amp; Tool'!$G:$G,'Costi &amp; Tool'!$C:$C,A60,'Costi &amp; Tool'!$H:$H,"Sì")</x:f>
        <x:v>0</x:v>
      </x:c>
      <x:c r="M60" s="197"/>
      <x:c r="N60" s="197"/>
      <x:c r="O60" s="197"/>
      <x:c r="P60" s="198" t="n">
        <x:f>L60+M60+N60+O60</x:f>
        <x:v>0</x:v>
      </x:c>
      <x:c r="Q60" s="198" t="n">
        <x:f>SUMIFS('Attività &amp; Tempi'!$N:$N,'Attività &amp; Tempi'!$A:$A,A60,'Attività &amp; Tempi'!$E:$E,"Fabio")</x:f>
        <x:v>0</x:v>
      </x:c>
      <x:c r="R60" s="198" t="n">
        <x:f>SUMIFS('Attività &amp; Tempi'!$N:$N,'Attività &amp; Tempi'!$A:$A,A60,'Attività &amp; Tempi'!$E:$E,"Frego")</x:f>
        <x:v>0</x:v>
      </x:c>
      <x:c r="S60" s="198" t="n">
        <x:f>SUMIFS('Attività &amp; Tempi'!$N:$N,'Attività &amp; Tempi'!$A:$A,A60,'Attività &amp; Tempi'!$E:$E,"Jessica")</x:f>
        <x:v>0</x:v>
      </x:c>
      <x:c r="T60" s="198" t="n">
        <x:f>Q60*Impostazioni!$B$4+R60*Impostazioni!$B$5+S60*Impostazioni!$B$6</x:f>
        <x:v>0</x:v>
      </x:c>
      <x:c r="U60" s="197"/>
      <x:c r="V60" s="198" t="n">
        <x:f>IF(1-U60=0,"",ROUND((P60+T60)/(1-U60),0))</x:f>
        <x:v>0</x:v>
      </x:c>
      <x:c r="W60" s="198" t="n">
        <x:f>K60-P60</x:f>
        <x:v>0</x:v>
      </x:c>
      <x:c r="X60" s="198" t="n">
        <x:f>IF(K60=0,0,W60/K60)</x:f>
        <x:v>0</x:v>
      </x:c>
      <x:c r="Y60" s="198" t="str">
        <x:f>IF(K60&lt;V60,IF(OR(C60="Strategico / caso studio",C60="Partnership"),"Strategico ma sottoprezzato","Cliente sottoprezzato"),IF(X60&lt;0.3,"Cliente da rinegoziare",IF((Q60+R60+S60)&gt;80,"Cliente troppo pesante","Cliente sano")))</x:f>
        <x:v>Cliente da rinegoziare</x:v>
      </x:c>
      <x:c r="Z60" s="198" t="n">
        <x:f>MAX(W60,0)/2</x:f>
        <x:v>0</x:v>
      </x:c>
      <x:c r="AA60" s="198" t="n">
        <x:f>MAX(W60,0)/2</x:f>
        <x:v>0</x:v>
      </x:c>
      <x:c r="AB60" s="198" t="n">
        <x:f>Z60*Impostazioni!$B$7*Impostazioni!$B$8</x:f>
        <x:v>0</x:v>
      </x:c>
      <x:c r="AC60" s="198" t="n">
        <x:f>MAX(Z60*Impostazioni!$B$7-AB60,0)*Impostazioni!$B$9</x:f>
        <x:v>0</x:v>
      </x:c>
      <x:c r="AD60" s="198" t="n">
        <x:f>Z60-AB60-AC60</x:f>
        <x:v>0</x:v>
      </x:c>
      <x:c r="AE60" s="198" t="n">
        <x:f>IF(Q60=0,0,AD60/Q60)</x:f>
        <x:v>0</x:v>
      </x:c>
      <x:c r="AF60" s="198" t="n">
        <x:f>AA60-(AA60*Impostazioni!$B$7*Impostazioni!$B$8)-MAX(AA60*Impostazioni!$B$7-(AA60*Impostazioni!$B$7*Impostazioni!$B$8),0)*Impostazioni!$B$9</x:f>
        <x:v>0</x:v>
      </x:c>
      <x:c r="AG60" s="198" t="n">
        <x:f>IF(R60=0,0,AF60/R60)</x:f>
        <x:v>0</x:v>
      </x:c>
    </x:row>
    <x:row r="61">
      <x:c r="A61" s="197"/>
      <x:c r="B61" s="197"/>
      <x:c r="C61" s="197"/>
      <x:c r="D61" s="197"/>
      <x:c r="E61" s="197"/>
      <x:c r="F61" s="197"/>
      <x:c r="G61" s="197"/>
      <x:c r="H61" s="197"/>
      <x:c r="I61" s="197"/>
      <x:c r="J61" s="197"/>
      <x:c r="K61" s="198" t="n">
        <x:f>F61+H61+I61+J61</x:f>
        <x:v>0</x:v>
      </x:c>
      <x:c r="L61" s="198" t="n">
        <x:f>SUMIFS('Costi &amp; Tool'!$G:$G,'Costi &amp; Tool'!$C:$C,A61,'Costi &amp; Tool'!$H:$H,"Sì")</x:f>
        <x:v>0</x:v>
      </x:c>
      <x:c r="M61" s="197"/>
      <x:c r="N61" s="197"/>
      <x:c r="O61" s="197"/>
      <x:c r="P61" s="198" t="n">
        <x:f>L61+M61+N61+O61</x:f>
        <x:v>0</x:v>
      </x:c>
      <x:c r="Q61" s="198" t="n">
        <x:f>SUMIFS('Attività &amp; Tempi'!$N:$N,'Attività &amp; Tempi'!$A:$A,A61,'Attività &amp; Tempi'!$E:$E,"Fabio")</x:f>
        <x:v>0</x:v>
      </x:c>
      <x:c r="R61" s="198" t="n">
        <x:f>SUMIFS('Attività &amp; Tempi'!$N:$N,'Attività &amp; Tempi'!$A:$A,A61,'Attività &amp; Tempi'!$E:$E,"Frego")</x:f>
        <x:v>0</x:v>
      </x:c>
      <x:c r="S61" s="198" t="n">
        <x:f>SUMIFS('Attività &amp; Tempi'!$N:$N,'Attività &amp; Tempi'!$A:$A,A61,'Attività &amp; Tempi'!$E:$E,"Jessica")</x:f>
        <x:v>0</x:v>
      </x:c>
      <x:c r="T61" s="198" t="n">
        <x:f>Q61*Impostazioni!$B$4+R61*Impostazioni!$B$5+S61*Impostazioni!$B$6</x:f>
        <x:v>0</x:v>
      </x:c>
      <x:c r="U61" s="197"/>
      <x:c r="V61" s="198" t="n">
        <x:f>IF(1-U61=0,"",ROUND((P61+T61)/(1-U61),0))</x:f>
        <x:v>0</x:v>
      </x:c>
      <x:c r="W61" s="198" t="n">
        <x:f>K61-P61</x:f>
        <x:v>0</x:v>
      </x:c>
      <x:c r="X61" s="198" t="n">
        <x:f>IF(K61=0,0,W61/K61)</x:f>
        <x:v>0</x:v>
      </x:c>
      <x:c r="Y61" s="198" t="str">
        <x:f>IF(K61&lt;V61,IF(OR(C61="Strategico / caso studio",C61="Partnership"),"Strategico ma sottoprezzato","Cliente sottoprezzato"),IF(X61&lt;0.3,"Cliente da rinegoziare",IF((Q61+R61+S61)&gt;80,"Cliente troppo pesante","Cliente sano")))</x:f>
        <x:v>Cliente da rinegoziare</x:v>
      </x:c>
      <x:c r="Z61" s="198" t="n">
        <x:f>MAX(W61,0)/2</x:f>
        <x:v>0</x:v>
      </x:c>
      <x:c r="AA61" s="198" t="n">
        <x:f>MAX(W61,0)/2</x:f>
        <x:v>0</x:v>
      </x:c>
      <x:c r="AB61" s="198" t="n">
        <x:f>Z61*Impostazioni!$B$7*Impostazioni!$B$8</x:f>
        <x:v>0</x:v>
      </x:c>
      <x:c r="AC61" s="198" t="n">
        <x:f>MAX(Z61*Impostazioni!$B$7-AB61,0)*Impostazioni!$B$9</x:f>
        <x:v>0</x:v>
      </x:c>
      <x:c r="AD61" s="198" t="n">
        <x:f>Z61-AB61-AC61</x:f>
        <x:v>0</x:v>
      </x:c>
      <x:c r="AE61" s="198" t="n">
        <x:f>IF(Q61=0,0,AD61/Q61)</x:f>
        <x:v>0</x:v>
      </x:c>
      <x:c r="AF61" s="198" t="n">
        <x:f>AA61-(AA61*Impostazioni!$B$7*Impostazioni!$B$8)-MAX(AA61*Impostazioni!$B$7-(AA61*Impostazioni!$B$7*Impostazioni!$B$8),0)*Impostazioni!$B$9</x:f>
        <x:v>0</x:v>
      </x:c>
      <x:c r="AG61" s="198" t="n">
        <x:f>IF(R61=0,0,AF61/R61)</x:f>
        <x:v>0</x:v>
      </x:c>
    </x:row>
    <x:row r="62">
      <x:c r="A62" s="197"/>
      <x:c r="B62" s="197"/>
      <x:c r="C62" s="197"/>
      <x:c r="D62" s="197"/>
      <x:c r="E62" s="197"/>
      <x:c r="F62" s="197"/>
      <x:c r="G62" s="197"/>
      <x:c r="H62" s="197"/>
      <x:c r="I62" s="197"/>
      <x:c r="J62" s="197"/>
      <x:c r="K62" s="198" t="n">
        <x:f>F62+H62+I62+J62</x:f>
        <x:v>0</x:v>
      </x:c>
      <x:c r="L62" s="198" t="n">
        <x:f>SUMIFS('Costi &amp; Tool'!$G:$G,'Costi &amp; Tool'!$C:$C,A62,'Costi &amp; Tool'!$H:$H,"Sì")</x:f>
        <x:v>0</x:v>
      </x:c>
      <x:c r="M62" s="197"/>
      <x:c r="N62" s="197"/>
      <x:c r="O62" s="197"/>
      <x:c r="P62" s="198" t="n">
        <x:f>L62+M62+N62+O62</x:f>
        <x:v>0</x:v>
      </x:c>
      <x:c r="Q62" s="198" t="n">
        <x:f>SUMIFS('Attività &amp; Tempi'!$N:$N,'Attività &amp; Tempi'!$A:$A,A62,'Attività &amp; Tempi'!$E:$E,"Fabio")</x:f>
        <x:v>0</x:v>
      </x:c>
      <x:c r="R62" s="198" t="n">
        <x:f>SUMIFS('Attività &amp; Tempi'!$N:$N,'Attività &amp; Tempi'!$A:$A,A62,'Attività &amp; Tempi'!$E:$E,"Frego")</x:f>
        <x:v>0</x:v>
      </x:c>
      <x:c r="S62" s="198" t="n">
        <x:f>SUMIFS('Attività &amp; Tempi'!$N:$N,'Attività &amp; Tempi'!$A:$A,A62,'Attività &amp; Tempi'!$E:$E,"Jessica")</x:f>
        <x:v>0</x:v>
      </x:c>
      <x:c r="T62" s="198" t="n">
        <x:f>Q62*Impostazioni!$B$4+R62*Impostazioni!$B$5+S62*Impostazioni!$B$6</x:f>
        <x:v>0</x:v>
      </x:c>
      <x:c r="U62" s="197"/>
      <x:c r="V62" s="198" t="n">
        <x:f>IF(1-U62=0,"",ROUND((P62+T62)/(1-U62),0))</x:f>
        <x:v>0</x:v>
      </x:c>
      <x:c r="W62" s="198" t="n">
        <x:f>K62-P62</x:f>
        <x:v>0</x:v>
      </x:c>
      <x:c r="X62" s="198" t="n">
        <x:f>IF(K62=0,0,W62/K62)</x:f>
        <x:v>0</x:v>
      </x:c>
      <x:c r="Y62" s="198" t="str">
        <x:f>IF(K62&lt;V62,IF(OR(C62="Strategico / caso studio",C62="Partnership"),"Strategico ma sottoprezzato","Cliente sottoprezzato"),IF(X62&lt;0.3,"Cliente da rinegoziare",IF((Q62+R62+S62)&gt;80,"Cliente troppo pesante","Cliente sano")))</x:f>
        <x:v>Cliente da rinegoziare</x:v>
      </x:c>
      <x:c r="Z62" s="198" t="n">
        <x:f>MAX(W62,0)/2</x:f>
        <x:v>0</x:v>
      </x:c>
      <x:c r="AA62" s="198" t="n">
        <x:f>MAX(W62,0)/2</x:f>
        <x:v>0</x:v>
      </x:c>
      <x:c r="AB62" s="198" t="n">
        <x:f>Z62*Impostazioni!$B$7*Impostazioni!$B$8</x:f>
        <x:v>0</x:v>
      </x:c>
      <x:c r="AC62" s="198" t="n">
        <x:f>MAX(Z62*Impostazioni!$B$7-AB62,0)*Impostazioni!$B$9</x:f>
        <x:v>0</x:v>
      </x:c>
      <x:c r="AD62" s="198" t="n">
        <x:f>Z62-AB62-AC62</x:f>
        <x:v>0</x:v>
      </x:c>
      <x:c r="AE62" s="198" t="n">
        <x:f>IF(Q62=0,0,AD62/Q62)</x:f>
        <x:v>0</x:v>
      </x:c>
      <x:c r="AF62" s="198" t="n">
        <x:f>AA62-(AA62*Impostazioni!$B$7*Impostazioni!$B$8)-MAX(AA62*Impostazioni!$B$7-(AA62*Impostazioni!$B$7*Impostazioni!$B$8),0)*Impostazioni!$B$9</x:f>
        <x:v>0</x:v>
      </x:c>
      <x:c r="AG62" s="198" t="n">
        <x:f>IF(R62=0,0,AF62/R62)</x:f>
        <x:v>0</x:v>
      </x:c>
    </x:row>
    <x:row r="63">
      <x:c r="A63" s="197"/>
      <x:c r="B63" s="197"/>
      <x:c r="C63" s="197"/>
      <x:c r="D63" s="197"/>
      <x:c r="E63" s="197"/>
      <x:c r="F63" s="197"/>
      <x:c r="G63" s="197"/>
      <x:c r="H63" s="197"/>
      <x:c r="I63" s="197"/>
      <x:c r="J63" s="197"/>
      <x:c r="K63" s="198" t="n">
        <x:f>F63+H63+I63+J63</x:f>
        <x:v>0</x:v>
      </x:c>
      <x:c r="L63" s="198" t="n">
        <x:f>SUMIFS('Costi &amp; Tool'!$G:$G,'Costi &amp; Tool'!$C:$C,A63,'Costi &amp; Tool'!$H:$H,"Sì")</x:f>
        <x:v>0</x:v>
      </x:c>
      <x:c r="M63" s="197"/>
      <x:c r="N63" s="197"/>
      <x:c r="O63" s="197"/>
      <x:c r="P63" s="198" t="n">
        <x:f>L63+M63+N63+O63</x:f>
        <x:v>0</x:v>
      </x:c>
      <x:c r="Q63" s="198" t="n">
        <x:f>SUMIFS('Attività &amp; Tempi'!$N:$N,'Attività &amp; Tempi'!$A:$A,A63,'Attività &amp; Tempi'!$E:$E,"Fabio")</x:f>
        <x:v>0</x:v>
      </x:c>
      <x:c r="R63" s="198" t="n">
        <x:f>SUMIFS('Attività &amp; Tempi'!$N:$N,'Attività &amp; Tempi'!$A:$A,A63,'Attività &amp; Tempi'!$E:$E,"Frego")</x:f>
        <x:v>0</x:v>
      </x:c>
      <x:c r="S63" s="198" t="n">
        <x:f>SUMIFS('Attività &amp; Tempi'!$N:$N,'Attività &amp; Tempi'!$A:$A,A63,'Attività &amp; Tempi'!$E:$E,"Jessica")</x:f>
        <x:v>0</x:v>
      </x:c>
      <x:c r="T63" s="198" t="n">
        <x:f>Q63*Impostazioni!$B$4+R63*Impostazioni!$B$5+S63*Impostazioni!$B$6</x:f>
        <x:v>0</x:v>
      </x:c>
      <x:c r="U63" s="197"/>
      <x:c r="V63" s="198" t="n">
        <x:f>IF(1-U63=0,"",ROUND((P63+T63)/(1-U63),0))</x:f>
        <x:v>0</x:v>
      </x:c>
      <x:c r="W63" s="198" t="n">
        <x:f>K63-P63</x:f>
        <x:v>0</x:v>
      </x:c>
      <x:c r="X63" s="198" t="n">
        <x:f>IF(K63=0,0,W63/K63)</x:f>
        <x:v>0</x:v>
      </x:c>
      <x:c r="Y63" s="198" t="str">
        <x:f>IF(K63&lt;V63,IF(OR(C63="Strategico / caso studio",C63="Partnership"),"Strategico ma sottoprezzato","Cliente sottoprezzato"),IF(X63&lt;0.3,"Cliente da rinegoziare",IF((Q63+R63+S63)&gt;80,"Cliente troppo pesante","Cliente sano")))</x:f>
        <x:v>Cliente da rinegoziare</x:v>
      </x:c>
      <x:c r="Z63" s="198" t="n">
        <x:f>MAX(W63,0)/2</x:f>
        <x:v>0</x:v>
      </x:c>
      <x:c r="AA63" s="198" t="n">
        <x:f>MAX(W63,0)/2</x:f>
        <x:v>0</x:v>
      </x:c>
      <x:c r="AB63" s="198" t="n">
        <x:f>Z63*Impostazioni!$B$7*Impostazioni!$B$8</x:f>
        <x:v>0</x:v>
      </x:c>
      <x:c r="AC63" s="198" t="n">
        <x:f>MAX(Z63*Impostazioni!$B$7-AB63,0)*Impostazioni!$B$9</x:f>
        <x:v>0</x:v>
      </x:c>
      <x:c r="AD63" s="198" t="n">
        <x:f>Z63-AB63-AC63</x:f>
        <x:v>0</x:v>
      </x:c>
      <x:c r="AE63" s="198" t="n">
        <x:f>IF(Q63=0,0,AD63/Q63)</x:f>
        <x:v>0</x:v>
      </x:c>
      <x:c r="AF63" s="198" t="n">
        <x:f>AA63-(AA63*Impostazioni!$B$7*Impostazioni!$B$8)-MAX(AA63*Impostazioni!$B$7-(AA63*Impostazioni!$B$7*Impostazioni!$B$8),0)*Impostazioni!$B$9</x:f>
        <x:v>0</x:v>
      </x:c>
      <x:c r="AG63" s="198" t="n">
        <x:f>IF(R63=0,0,AF63/R63)</x:f>
        <x:v>0</x:v>
      </x:c>
    </x:row>
    <x:row r="64">
      <x:c r="A64" s="197"/>
      <x:c r="B64" s="197"/>
      <x:c r="C64" s="197"/>
      <x:c r="D64" s="197"/>
      <x:c r="E64" s="197"/>
      <x:c r="F64" s="197"/>
      <x:c r="G64" s="197"/>
      <x:c r="H64" s="197"/>
      <x:c r="I64" s="197"/>
      <x:c r="J64" s="197"/>
      <x:c r="K64" s="198" t="n">
        <x:f>F64+H64+I64+J64</x:f>
        <x:v>0</x:v>
      </x:c>
      <x:c r="L64" s="198" t="n">
        <x:f>SUMIFS('Costi &amp; Tool'!$G:$G,'Costi &amp; Tool'!$C:$C,A64,'Costi &amp; Tool'!$H:$H,"Sì")</x:f>
        <x:v>0</x:v>
      </x:c>
      <x:c r="M64" s="197"/>
      <x:c r="N64" s="197"/>
      <x:c r="O64" s="197"/>
      <x:c r="P64" s="198" t="n">
        <x:f>L64+M64+N64+O64</x:f>
        <x:v>0</x:v>
      </x:c>
      <x:c r="Q64" s="198" t="n">
        <x:f>SUMIFS('Attività &amp; Tempi'!$N:$N,'Attività &amp; Tempi'!$A:$A,A64,'Attività &amp; Tempi'!$E:$E,"Fabio")</x:f>
        <x:v>0</x:v>
      </x:c>
      <x:c r="R64" s="198" t="n">
        <x:f>SUMIFS('Attività &amp; Tempi'!$N:$N,'Attività &amp; Tempi'!$A:$A,A64,'Attività &amp; Tempi'!$E:$E,"Frego")</x:f>
        <x:v>0</x:v>
      </x:c>
      <x:c r="S64" s="198" t="n">
        <x:f>SUMIFS('Attività &amp; Tempi'!$N:$N,'Attività &amp; Tempi'!$A:$A,A64,'Attività &amp; Tempi'!$E:$E,"Jessica")</x:f>
        <x:v>0</x:v>
      </x:c>
      <x:c r="T64" s="198" t="n">
        <x:f>Q64*Impostazioni!$B$4+R64*Impostazioni!$B$5+S64*Impostazioni!$B$6</x:f>
        <x:v>0</x:v>
      </x:c>
      <x:c r="U64" s="197"/>
      <x:c r="V64" s="198" t="n">
        <x:f>IF(1-U64=0,"",ROUND((P64+T64)/(1-U64),0))</x:f>
        <x:v>0</x:v>
      </x:c>
      <x:c r="W64" s="198" t="n">
        <x:f>K64-P64</x:f>
        <x:v>0</x:v>
      </x:c>
      <x:c r="X64" s="198" t="n">
        <x:f>IF(K64=0,0,W64/K64)</x:f>
        <x:v>0</x:v>
      </x:c>
      <x:c r="Y64" s="198" t="str">
        <x:f>IF(K64&lt;V64,IF(OR(C64="Strategico / caso studio",C64="Partnership"),"Strategico ma sottoprezzato","Cliente sottoprezzato"),IF(X64&lt;0.3,"Cliente da rinegoziare",IF((Q64+R64+S64)&gt;80,"Cliente troppo pesante","Cliente sano")))</x:f>
        <x:v>Cliente da rinegoziare</x:v>
      </x:c>
      <x:c r="Z64" s="198" t="n">
        <x:f>MAX(W64,0)/2</x:f>
        <x:v>0</x:v>
      </x:c>
      <x:c r="AA64" s="198" t="n">
        <x:f>MAX(W64,0)/2</x:f>
        <x:v>0</x:v>
      </x:c>
      <x:c r="AB64" s="198" t="n">
        <x:f>Z64*Impostazioni!$B$7*Impostazioni!$B$8</x:f>
        <x:v>0</x:v>
      </x:c>
      <x:c r="AC64" s="198" t="n">
        <x:f>MAX(Z64*Impostazioni!$B$7-AB64,0)*Impostazioni!$B$9</x:f>
        <x:v>0</x:v>
      </x:c>
      <x:c r="AD64" s="198" t="n">
        <x:f>Z64-AB64-AC64</x:f>
        <x:v>0</x:v>
      </x:c>
      <x:c r="AE64" s="198" t="n">
        <x:f>IF(Q64=0,0,AD64/Q64)</x:f>
        <x:v>0</x:v>
      </x:c>
      <x:c r="AF64" s="198" t="n">
        <x:f>AA64-(AA64*Impostazioni!$B$7*Impostazioni!$B$8)-MAX(AA64*Impostazioni!$B$7-(AA64*Impostazioni!$B$7*Impostazioni!$B$8),0)*Impostazioni!$B$9</x:f>
        <x:v>0</x:v>
      </x:c>
      <x:c r="AG64" s="198" t="n">
        <x:f>IF(R64=0,0,AF64/R64)</x:f>
        <x:v>0</x:v>
      </x:c>
    </x:row>
    <x:row r="65">
      <x:c r="A65" s="197"/>
      <x:c r="B65" s="197"/>
      <x:c r="C65" s="197"/>
      <x:c r="D65" s="197"/>
      <x:c r="E65" s="197"/>
      <x:c r="F65" s="197"/>
      <x:c r="G65" s="197"/>
      <x:c r="H65" s="197"/>
      <x:c r="I65" s="197"/>
      <x:c r="J65" s="197"/>
      <x:c r="K65" s="198" t="n">
        <x:f>F65+H65+I65+J65</x:f>
        <x:v>0</x:v>
      </x:c>
      <x:c r="L65" s="198" t="n">
        <x:f>SUMIFS('Costi &amp; Tool'!$G:$G,'Costi &amp; Tool'!$C:$C,A65,'Costi &amp; Tool'!$H:$H,"Sì")</x:f>
        <x:v>0</x:v>
      </x:c>
      <x:c r="M65" s="197"/>
      <x:c r="N65" s="197"/>
      <x:c r="O65" s="197"/>
      <x:c r="P65" s="198" t="n">
        <x:f>L65+M65+N65+O65</x:f>
        <x:v>0</x:v>
      </x:c>
      <x:c r="Q65" s="198" t="n">
        <x:f>SUMIFS('Attività &amp; Tempi'!$N:$N,'Attività &amp; Tempi'!$A:$A,A65,'Attività &amp; Tempi'!$E:$E,"Fabio")</x:f>
        <x:v>0</x:v>
      </x:c>
      <x:c r="R65" s="198" t="n">
        <x:f>SUMIFS('Attività &amp; Tempi'!$N:$N,'Attività &amp; Tempi'!$A:$A,A65,'Attività &amp; Tempi'!$E:$E,"Frego")</x:f>
        <x:v>0</x:v>
      </x:c>
      <x:c r="S65" s="198" t="n">
        <x:f>SUMIFS('Attività &amp; Tempi'!$N:$N,'Attività &amp; Tempi'!$A:$A,A65,'Attività &amp; Tempi'!$E:$E,"Jessica")</x:f>
        <x:v>0</x:v>
      </x:c>
      <x:c r="T65" s="198" t="n">
        <x:f>Q65*Impostazioni!$B$4+R65*Impostazioni!$B$5+S65*Impostazioni!$B$6</x:f>
        <x:v>0</x:v>
      </x:c>
      <x:c r="U65" s="197"/>
      <x:c r="V65" s="198" t="n">
        <x:f>IF(1-U65=0,"",ROUND((P65+T65)/(1-U65),0))</x:f>
        <x:v>0</x:v>
      </x:c>
      <x:c r="W65" s="198" t="n">
        <x:f>K65-P65</x:f>
        <x:v>0</x:v>
      </x:c>
      <x:c r="X65" s="198" t="n">
        <x:f>IF(K65=0,0,W65/K65)</x:f>
        <x:v>0</x:v>
      </x:c>
      <x:c r="Y65" s="198" t="str">
        <x:f>IF(K65&lt;V65,IF(OR(C65="Strategico / caso studio",C65="Partnership"),"Strategico ma sottoprezzato","Cliente sottoprezzato"),IF(X65&lt;0.3,"Cliente da rinegoziare",IF((Q65+R65+S65)&gt;80,"Cliente troppo pesante","Cliente sano")))</x:f>
        <x:v>Cliente da rinegoziare</x:v>
      </x:c>
      <x:c r="Z65" s="198" t="n">
        <x:f>MAX(W65,0)/2</x:f>
        <x:v>0</x:v>
      </x:c>
      <x:c r="AA65" s="198" t="n">
        <x:f>MAX(W65,0)/2</x:f>
        <x:v>0</x:v>
      </x:c>
      <x:c r="AB65" s="198" t="n">
        <x:f>Z65*Impostazioni!$B$7*Impostazioni!$B$8</x:f>
        <x:v>0</x:v>
      </x:c>
      <x:c r="AC65" s="198" t="n">
        <x:f>MAX(Z65*Impostazioni!$B$7-AB65,0)*Impostazioni!$B$9</x:f>
        <x:v>0</x:v>
      </x:c>
      <x:c r="AD65" s="198" t="n">
        <x:f>Z65-AB65-AC65</x:f>
        <x:v>0</x:v>
      </x:c>
      <x:c r="AE65" s="198" t="n">
        <x:f>IF(Q65=0,0,AD65/Q65)</x:f>
        <x:v>0</x:v>
      </x:c>
      <x:c r="AF65" s="198" t="n">
        <x:f>AA65-(AA65*Impostazioni!$B$7*Impostazioni!$B$8)-MAX(AA65*Impostazioni!$B$7-(AA65*Impostazioni!$B$7*Impostazioni!$B$8),0)*Impostazioni!$B$9</x:f>
        <x:v>0</x:v>
      </x:c>
      <x:c r="AG65" s="198" t="n">
        <x:f>IF(R65=0,0,AF65/R65)</x:f>
        <x:v>0</x:v>
      </x:c>
    </x:row>
    <x:row r="66">
      <x:c r="A66" s="197"/>
      <x:c r="B66" s="197"/>
      <x:c r="C66" s="197"/>
      <x:c r="D66" s="197"/>
      <x:c r="E66" s="197"/>
      <x:c r="F66" s="197"/>
      <x:c r="G66" s="197"/>
      <x:c r="H66" s="197"/>
      <x:c r="I66" s="197"/>
      <x:c r="J66" s="197"/>
      <x:c r="K66" s="198" t="n">
        <x:f>F66+H66+I66+J66</x:f>
        <x:v>0</x:v>
      </x:c>
      <x:c r="L66" s="198" t="n">
        <x:f>SUMIFS('Costi &amp; Tool'!$G:$G,'Costi &amp; Tool'!$C:$C,A66,'Costi &amp; Tool'!$H:$H,"Sì")</x:f>
        <x:v>0</x:v>
      </x:c>
      <x:c r="M66" s="197"/>
      <x:c r="N66" s="197"/>
      <x:c r="O66" s="197"/>
      <x:c r="P66" s="198" t="n">
        <x:f>L66+M66+N66+O66</x:f>
        <x:v>0</x:v>
      </x:c>
      <x:c r="Q66" s="198" t="n">
        <x:f>SUMIFS('Attività &amp; Tempi'!$N:$N,'Attività &amp; Tempi'!$A:$A,A66,'Attività &amp; Tempi'!$E:$E,"Fabio")</x:f>
        <x:v>0</x:v>
      </x:c>
      <x:c r="R66" s="198" t="n">
        <x:f>SUMIFS('Attività &amp; Tempi'!$N:$N,'Attività &amp; Tempi'!$A:$A,A66,'Attività &amp; Tempi'!$E:$E,"Frego")</x:f>
        <x:v>0</x:v>
      </x:c>
      <x:c r="S66" s="198" t="n">
        <x:f>SUMIFS('Attività &amp; Tempi'!$N:$N,'Attività &amp; Tempi'!$A:$A,A66,'Attività &amp; Tempi'!$E:$E,"Jessica")</x:f>
        <x:v>0</x:v>
      </x:c>
      <x:c r="T66" s="198" t="n">
        <x:f>Q66*Impostazioni!$B$4+R66*Impostazioni!$B$5+S66*Impostazioni!$B$6</x:f>
        <x:v>0</x:v>
      </x:c>
      <x:c r="U66" s="197"/>
      <x:c r="V66" s="198" t="n">
        <x:f>IF(1-U66=0,"",ROUND((P66+T66)/(1-U66),0))</x:f>
        <x:v>0</x:v>
      </x:c>
      <x:c r="W66" s="198" t="n">
        <x:f>K66-P66</x:f>
        <x:v>0</x:v>
      </x:c>
      <x:c r="X66" s="198" t="n">
        <x:f>IF(K66=0,0,W66/K66)</x:f>
        <x:v>0</x:v>
      </x:c>
      <x:c r="Y66" s="198" t="str">
        <x:f>IF(K66&lt;V66,IF(OR(C66="Strategico / caso studio",C66="Partnership"),"Strategico ma sottoprezzato","Cliente sottoprezzato"),IF(X66&lt;0.3,"Cliente da rinegoziare",IF((Q66+R66+S66)&gt;80,"Cliente troppo pesante","Cliente sano")))</x:f>
        <x:v>Cliente da rinegoziare</x:v>
      </x:c>
      <x:c r="Z66" s="198" t="n">
        <x:f>MAX(W66,0)/2</x:f>
        <x:v>0</x:v>
      </x:c>
      <x:c r="AA66" s="198" t="n">
        <x:f>MAX(W66,0)/2</x:f>
        <x:v>0</x:v>
      </x:c>
      <x:c r="AB66" s="198" t="n">
        <x:f>Z66*Impostazioni!$B$7*Impostazioni!$B$8</x:f>
        <x:v>0</x:v>
      </x:c>
      <x:c r="AC66" s="198" t="n">
        <x:f>MAX(Z66*Impostazioni!$B$7-AB66,0)*Impostazioni!$B$9</x:f>
        <x:v>0</x:v>
      </x:c>
      <x:c r="AD66" s="198" t="n">
        <x:f>Z66-AB66-AC66</x:f>
        <x:v>0</x:v>
      </x:c>
      <x:c r="AE66" s="198" t="n">
        <x:f>IF(Q66=0,0,AD66/Q66)</x:f>
        <x:v>0</x:v>
      </x:c>
      <x:c r="AF66" s="198" t="n">
        <x:f>AA66-(AA66*Impostazioni!$B$7*Impostazioni!$B$8)-MAX(AA66*Impostazioni!$B$7-(AA66*Impostazioni!$B$7*Impostazioni!$B$8),0)*Impostazioni!$B$9</x:f>
        <x:v>0</x:v>
      </x:c>
      <x:c r="AG66" s="198" t="n">
        <x:f>IF(R66=0,0,AF66/R66)</x:f>
        <x:v>0</x:v>
      </x:c>
    </x:row>
    <x:row r="67">
      <x:c r="A67" s="197"/>
      <x:c r="B67" s="197"/>
      <x:c r="C67" s="197"/>
      <x:c r="D67" s="197"/>
      <x:c r="E67" s="197"/>
      <x:c r="F67" s="197"/>
      <x:c r="G67" s="197"/>
      <x:c r="H67" s="197"/>
      <x:c r="I67" s="197"/>
      <x:c r="J67" s="197"/>
      <x:c r="K67" s="198" t="n">
        <x:f>F67+H67+I67+J67</x:f>
        <x:v>0</x:v>
      </x:c>
      <x:c r="L67" s="198" t="n">
        <x:f>SUMIFS('Costi &amp; Tool'!$G:$G,'Costi &amp; Tool'!$C:$C,A67,'Costi &amp; Tool'!$H:$H,"Sì")</x:f>
        <x:v>0</x:v>
      </x:c>
      <x:c r="M67" s="197"/>
      <x:c r="N67" s="197"/>
      <x:c r="O67" s="197"/>
      <x:c r="P67" s="198" t="n">
        <x:f>L67+M67+N67+O67</x:f>
        <x:v>0</x:v>
      </x:c>
      <x:c r="Q67" s="198" t="n">
        <x:f>SUMIFS('Attività &amp; Tempi'!$N:$N,'Attività &amp; Tempi'!$A:$A,A67,'Attività &amp; Tempi'!$E:$E,"Fabio")</x:f>
        <x:v>0</x:v>
      </x:c>
      <x:c r="R67" s="198" t="n">
        <x:f>SUMIFS('Attività &amp; Tempi'!$N:$N,'Attività &amp; Tempi'!$A:$A,A67,'Attività &amp; Tempi'!$E:$E,"Frego")</x:f>
        <x:v>0</x:v>
      </x:c>
      <x:c r="S67" s="198" t="n">
        <x:f>SUMIFS('Attività &amp; Tempi'!$N:$N,'Attività &amp; Tempi'!$A:$A,A67,'Attività &amp; Tempi'!$E:$E,"Jessica")</x:f>
        <x:v>0</x:v>
      </x:c>
      <x:c r="T67" s="198" t="n">
        <x:f>Q67*Impostazioni!$B$4+R67*Impostazioni!$B$5+S67*Impostazioni!$B$6</x:f>
        <x:v>0</x:v>
      </x:c>
      <x:c r="U67" s="197"/>
      <x:c r="V67" s="198" t="n">
        <x:f>IF(1-U67=0,"",ROUND((P67+T67)/(1-U67),0))</x:f>
        <x:v>0</x:v>
      </x:c>
      <x:c r="W67" s="198" t="n">
        <x:f>K67-P67</x:f>
        <x:v>0</x:v>
      </x:c>
      <x:c r="X67" s="198" t="n">
        <x:f>IF(K67=0,0,W67/K67)</x:f>
        <x:v>0</x:v>
      </x:c>
      <x:c r="Y67" s="198" t="str">
        <x:f>IF(K67&lt;V67,IF(OR(C67="Strategico / caso studio",C67="Partnership"),"Strategico ma sottoprezzato","Cliente sottoprezzato"),IF(X67&lt;0.3,"Cliente da rinegoziare",IF((Q67+R67+S67)&gt;80,"Cliente troppo pesante","Cliente sano")))</x:f>
        <x:v>Cliente da rinegoziare</x:v>
      </x:c>
      <x:c r="Z67" s="198" t="n">
        <x:f>MAX(W67,0)/2</x:f>
        <x:v>0</x:v>
      </x:c>
      <x:c r="AA67" s="198" t="n">
        <x:f>MAX(W67,0)/2</x:f>
        <x:v>0</x:v>
      </x:c>
      <x:c r="AB67" s="198" t="n">
        <x:f>Z67*Impostazioni!$B$7*Impostazioni!$B$8</x:f>
        <x:v>0</x:v>
      </x:c>
      <x:c r="AC67" s="198" t="n">
        <x:f>MAX(Z67*Impostazioni!$B$7-AB67,0)*Impostazioni!$B$9</x:f>
        <x:v>0</x:v>
      </x:c>
      <x:c r="AD67" s="198" t="n">
        <x:f>Z67-AB67-AC67</x:f>
        <x:v>0</x:v>
      </x:c>
      <x:c r="AE67" s="198" t="n">
        <x:f>IF(Q67=0,0,AD67/Q67)</x:f>
        <x:v>0</x:v>
      </x:c>
      <x:c r="AF67" s="198" t="n">
        <x:f>AA67-(AA67*Impostazioni!$B$7*Impostazioni!$B$8)-MAX(AA67*Impostazioni!$B$7-(AA67*Impostazioni!$B$7*Impostazioni!$B$8),0)*Impostazioni!$B$9</x:f>
        <x:v>0</x:v>
      </x:c>
      <x:c r="AG67" s="198" t="n">
        <x:f>IF(R67=0,0,AF67/R67)</x:f>
        <x:v>0</x:v>
      </x:c>
    </x:row>
    <x:row r="68">
      <x:c r="A68" s="197"/>
      <x:c r="B68" s="197"/>
      <x:c r="C68" s="197"/>
      <x:c r="D68" s="197"/>
      <x:c r="E68" s="197"/>
      <x:c r="F68" s="197"/>
      <x:c r="G68" s="197"/>
      <x:c r="H68" s="197"/>
      <x:c r="I68" s="197"/>
      <x:c r="J68" s="197"/>
      <x:c r="K68" s="198" t="n">
        <x:f>F68+H68+I68+J68</x:f>
        <x:v>0</x:v>
      </x:c>
      <x:c r="L68" s="198" t="n">
        <x:f>SUMIFS('Costi &amp; Tool'!$G:$G,'Costi &amp; Tool'!$C:$C,A68,'Costi &amp; Tool'!$H:$H,"Sì")</x:f>
        <x:v>0</x:v>
      </x:c>
      <x:c r="M68" s="197"/>
      <x:c r="N68" s="197"/>
      <x:c r="O68" s="197"/>
      <x:c r="P68" s="198" t="n">
        <x:f>L68+M68+N68+O68</x:f>
        <x:v>0</x:v>
      </x:c>
      <x:c r="Q68" s="198" t="n">
        <x:f>SUMIFS('Attività &amp; Tempi'!$N:$N,'Attività &amp; Tempi'!$A:$A,A68,'Attività &amp; Tempi'!$E:$E,"Fabio")</x:f>
        <x:v>0</x:v>
      </x:c>
      <x:c r="R68" s="198" t="n">
        <x:f>SUMIFS('Attività &amp; Tempi'!$N:$N,'Attività &amp; Tempi'!$A:$A,A68,'Attività &amp; Tempi'!$E:$E,"Frego")</x:f>
        <x:v>0</x:v>
      </x:c>
      <x:c r="S68" s="198" t="n">
        <x:f>SUMIFS('Attività &amp; Tempi'!$N:$N,'Attività &amp; Tempi'!$A:$A,A68,'Attività &amp; Tempi'!$E:$E,"Jessica")</x:f>
        <x:v>0</x:v>
      </x:c>
      <x:c r="T68" s="198" t="n">
        <x:f>Q68*Impostazioni!$B$4+R68*Impostazioni!$B$5+S68*Impostazioni!$B$6</x:f>
        <x:v>0</x:v>
      </x:c>
      <x:c r="U68" s="197"/>
      <x:c r="V68" s="198" t="n">
        <x:f>IF(1-U68=0,"",ROUND((P68+T68)/(1-U68),0))</x:f>
        <x:v>0</x:v>
      </x:c>
      <x:c r="W68" s="198" t="n">
        <x:f>K68-P68</x:f>
        <x:v>0</x:v>
      </x:c>
      <x:c r="X68" s="198" t="n">
        <x:f>IF(K68=0,0,W68/K68)</x:f>
        <x:v>0</x:v>
      </x:c>
      <x:c r="Y68" s="198" t="str">
        <x:f>IF(K68&lt;V68,IF(OR(C68="Strategico / caso studio",C68="Partnership"),"Strategico ma sottoprezzato","Cliente sottoprezzato"),IF(X68&lt;0.3,"Cliente da rinegoziare",IF((Q68+R68+S68)&gt;80,"Cliente troppo pesante","Cliente sano")))</x:f>
        <x:v>Cliente da rinegoziare</x:v>
      </x:c>
      <x:c r="Z68" s="198" t="n">
        <x:f>MAX(W68,0)/2</x:f>
        <x:v>0</x:v>
      </x:c>
      <x:c r="AA68" s="198" t="n">
        <x:f>MAX(W68,0)/2</x:f>
        <x:v>0</x:v>
      </x:c>
      <x:c r="AB68" s="198" t="n">
        <x:f>Z68*Impostazioni!$B$7*Impostazioni!$B$8</x:f>
        <x:v>0</x:v>
      </x:c>
      <x:c r="AC68" s="198" t="n">
        <x:f>MAX(Z68*Impostazioni!$B$7-AB68,0)*Impostazioni!$B$9</x:f>
        <x:v>0</x:v>
      </x:c>
      <x:c r="AD68" s="198" t="n">
        <x:f>Z68-AB68-AC68</x:f>
        <x:v>0</x:v>
      </x:c>
      <x:c r="AE68" s="198" t="n">
        <x:f>IF(Q68=0,0,AD68/Q68)</x:f>
        <x:v>0</x:v>
      </x:c>
      <x:c r="AF68" s="198" t="n">
        <x:f>AA68-(AA68*Impostazioni!$B$7*Impostazioni!$B$8)-MAX(AA68*Impostazioni!$B$7-(AA68*Impostazioni!$B$7*Impostazioni!$B$8),0)*Impostazioni!$B$9</x:f>
        <x:v>0</x:v>
      </x:c>
      <x:c r="AG68" s="198" t="n">
        <x:f>IF(R68=0,0,AF68/R68)</x:f>
        <x:v>0</x:v>
      </x:c>
    </x:row>
    <x:row r="69">
      <x:c r="A69" s="197"/>
      <x:c r="B69" s="197"/>
      <x:c r="C69" s="197"/>
      <x:c r="D69" s="197"/>
      <x:c r="E69" s="197"/>
      <x:c r="F69" s="197"/>
      <x:c r="G69" s="197"/>
      <x:c r="H69" s="197"/>
      <x:c r="I69" s="197"/>
      <x:c r="J69" s="197"/>
      <x:c r="K69" s="198" t="n">
        <x:f>F69+H69+I69+J69</x:f>
        <x:v>0</x:v>
      </x:c>
      <x:c r="L69" s="198" t="n">
        <x:f>SUMIFS('Costi &amp; Tool'!$G:$G,'Costi &amp; Tool'!$C:$C,A69,'Costi &amp; Tool'!$H:$H,"Sì")</x:f>
        <x:v>0</x:v>
      </x:c>
      <x:c r="M69" s="197"/>
      <x:c r="N69" s="197"/>
      <x:c r="O69" s="197"/>
      <x:c r="P69" s="198" t="n">
        <x:f>L69+M69+N69+O69</x:f>
        <x:v>0</x:v>
      </x:c>
      <x:c r="Q69" s="198" t="n">
        <x:f>SUMIFS('Attività &amp; Tempi'!$N:$N,'Attività &amp; Tempi'!$A:$A,A69,'Attività &amp; Tempi'!$E:$E,"Fabio")</x:f>
        <x:v>0</x:v>
      </x:c>
      <x:c r="R69" s="198" t="n">
        <x:f>SUMIFS('Attività &amp; Tempi'!$N:$N,'Attività &amp; Tempi'!$A:$A,A69,'Attività &amp; Tempi'!$E:$E,"Frego")</x:f>
        <x:v>0</x:v>
      </x:c>
      <x:c r="S69" s="198" t="n">
        <x:f>SUMIFS('Attività &amp; Tempi'!$N:$N,'Attività &amp; Tempi'!$A:$A,A69,'Attività &amp; Tempi'!$E:$E,"Jessica")</x:f>
        <x:v>0</x:v>
      </x:c>
      <x:c r="T69" s="198" t="n">
        <x:f>Q69*Impostazioni!$B$4+R69*Impostazioni!$B$5+S69*Impostazioni!$B$6</x:f>
        <x:v>0</x:v>
      </x:c>
      <x:c r="U69" s="197"/>
      <x:c r="V69" s="198" t="n">
        <x:f>IF(1-U69=0,"",ROUND((P69+T69)/(1-U69),0))</x:f>
        <x:v>0</x:v>
      </x:c>
      <x:c r="W69" s="198" t="n">
        <x:f>K69-P69</x:f>
        <x:v>0</x:v>
      </x:c>
      <x:c r="X69" s="198" t="n">
        <x:f>IF(K69=0,0,W69/K69)</x:f>
        <x:v>0</x:v>
      </x:c>
      <x:c r="Y69" s="198" t="str">
        <x:f>IF(K69&lt;V69,IF(OR(C69="Strategico / caso studio",C69="Partnership"),"Strategico ma sottoprezzato","Cliente sottoprezzato"),IF(X69&lt;0.3,"Cliente da rinegoziare",IF((Q69+R69+S69)&gt;80,"Cliente troppo pesante","Cliente sano")))</x:f>
        <x:v>Cliente da rinegoziare</x:v>
      </x:c>
      <x:c r="Z69" s="198" t="n">
        <x:f>MAX(W69,0)/2</x:f>
        <x:v>0</x:v>
      </x:c>
      <x:c r="AA69" s="198" t="n">
        <x:f>MAX(W69,0)/2</x:f>
        <x:v>0</x:v>
      </x:c>
      <x:c r="AB69" s="198" t="n">
        <x:f>Z69*Impostazioni!$B$7*Impostazioni!$B$8</x:f>
        <x:v>0</x:v>
      </x:c>
      <x:c r="AC69" s="198" t="n">
        <x:f>MAX(Z69*Impostazioni!$B$7-AB69,0)*Impostazioni!$B$9</x:f>
        <x:v>0</x:v>
      </x:c>
      <x:c r="AD69" s="198" t="n">
        <x:f>Z69-AB69-AC69</x:f>
        <x:v>0</x:v>
      </x:c>
      <x:c r="AE69" s="198" t="n">
        <x:f>IF(Q69=0,0,AD69/Q69)</x:f>
        <x:v>0</x:v>
      </x:c>
      <x:c r="AF69" s="198" t="n">
        <x:f>AA69-(AA69*Impostazioni!$B$7*Impostazioni!$B$8)-MAX(AA69*Impostazioni!$B$7-(AA69*Impostazioni!$B$7*Impostazioni!$B$8),0)*Impostazioni!$B$9</x:f>
        <x:v>0</x:v>
      </x:c>
      <x:c r="AG69" s="198" t="n">
        <x:f>IF(R69=0,0,AF69/R69)</x:f>
        <x:v>0</x:v>
      </x:c>
    </x:row>
    <x:row r="70">
      <x:c r="A70" s="197"/>
      <x:c r="B70" s="197"/>
      <x:c r="C70" s="197"/>
      <x:c r="D70" s="197"/>
      <x:c r="E70" s="197"/>
      <x:c r="F70" s="197"/>
      <x:c r="G70" s="197"/>
      <x:c r="H70" s="197"/>
      <x:c r="I70" s="197"/>
      <x:c r="J70" s="197"/>
      <x:c r="K70" s="198" t="n">
        <x:f>F70+H70+I70+J70</x:f>
        <x:v>0</x:v>
      </x:c>
      <x:c r="L70" s="198" t="n">
        <x:f>SUMIFS('Costi &amp; Tool'!$G:$G,'Costi &amp; Tool'!$C:$C,A70,'Costi &amp; Tool'!$H:$H,"Sì")</x:f>
        <x:v>0</x:v>
      </x:c>
      <x:c r="M70" s="197"/>
      <x:c r="N70" s="197"/>
      <x:c r="O70" s="197"/>
      <x:c r="P70" s="198" t="n">
        <x:f>L70+M70+N70+O70</x:f>
        <x:v>0</x:v>
      </x:c>
      <x:c r="Q70" s="198" t="n">
        <x:f>SUMIFS('Attività &amp; Tempi'!$N:$N,'Attività &amp; Tempi'!$A:$A,A70,'Attività &amp; Tempi'!$E:$E,"Fabio")</x:f>
        <x:v>0</x:v>
      </x:c>
      <x:c r="R70" s="198" t="n">
        <x:f>SUMIFS('Attività &amp; Tempi'!$N:$N,'Attività &amp; Tempi'!$A:$A,A70,'Attività &amp; Tempi'!$E:$E,"Frego")</x:f>
        <x:v>0</x:v>
      </x:c>
      <x:c r="S70" s="198" t="n">
        <x:f>SUMIFS('Attività &amp; Tempi'!$N:$N,'Attività &amp; Tempi'!$A:$A,A70,'Attività &amp; Tempi'!$E:$E,"Jessica")</x:f>
        <x:v>0</x:v>
      </x:c>
      <x:c r="T70" s="198" t="n">
        <x:f>Q70*Impostazioni!$B$4+R70*Impostazioni!$B$5+S70*Impostazioni!$B$6</x:f>
        <x:v>0</x:v>
      </x:c>
      <x:c r="U70" s="197"/>
      <x:c r="V70" s="198" t="n">
        <x:f>IF(1-U70=0,"",ROUND((P70+T70)/(1-U70),0))</x:f>
        <x:v>0</x:v>
      </x:c>
      <x:c r="W70" s="198" t="n">
        <x:f>K70-P70</x:f>
        <x:v>0</x:v>
      </x:c>
      <x:c r="X70" s="198" t="n">
        <x:f>IF(K70=0,0,W70/K70)</x:f>
        <x:v>0</x:v>
      </x:c>
      <x:c r="Y70" s="198" t="str">
        <x:f>IF(K70&lt;V70,IF(OR(C70="Strategico / caso studio",C70="Partnership"),"Strategico ma sottoprezzato","Cliente sottoprezzato"),IF(X70&lt;0.3,"Cliente da rinegoziare",IF((Q70+R70+S70)&gt;80,"Cliente troppo pesante","Cliente sano")))</x:f>
        <x:v>Cliente da rinegoziare</x:v>
      </x:c>
      <x:c r="Z70" s="198" t="n">
        <x:f>MAX(W70,0)/2</x:f>
        <x:v>0</x:v>
      </x:c>
      <x:c r="AA70" s="198" t="n">
        <x:f>MAX(W70,0)/2</x:f>
        <x:v>0</x:v>
      </x:c>
      <x:c r="AB70" s="198" t="n">
        <x:f>Z70*Impostazioni!$B$7*Impostazioni!$B$8</x:f>
        <x:v>0</x:v>
      </x:c>
      <x:c r="AC70" s="198" t="n">
        <x:f>MAX(Z70*Impostazioni!$B$7-AB70,0)*Impostazioni!$B$9</x:f>
        <x:v>0</x:v>
      </x:c>
      <x:c r="AD70" s="198" t="n">
        <x:f>Z70-AB70-AC70</x:f>
        <x:v>0</x:v>
      </x:c>
      <x:c r="AE70" s="198" t="n">
        <x:f>IF(Q70=0,0,AD70/Q70)</x:f>
        <x:v>0</x:v>
      </x:c>
      <x:c r="AF70" s="198" t="n">
        <x:f>AA70-(AA70*Impostazioni!$B$7*Impostazioni!$B$8)-MAX(AA70*Impostazioni!$B$7-(AA70*Impostazioni!$B$7*Impostazioni!$B$8),0)*Impostazioni!$B$9</x:f>
        <x:v>0</x:v>
      </x:c>
      <x:c r="AG70" s="198" t="n">
        <x:f>IF(R70=0,0,AF70/R70)</x:f>
        <x:v>0</x:v>
      </x:c>
    </x:row>
    <x:row r="71">
      <x:c r="A71" s="197"/>
      <x:c r="B71" s="197"/>
      <x:c r="C71" s="197"/>
      <x:c r="D71" s="197"/>
      <x:c r="E71" s="197"/>
      <x:c r="F71" s="197"/>
      <x:c r="G71" s="197"/>
      <x:c r="H71" s="197"/>
      <x:c r="I71" s="197"/>
      <x:c r="J71" s="197"/>
      <x:c r="K71" s="198" t="n">
        <x:f>F71+H71+I71+J71</x:f>
        <x:v>0</x:v>
      </x:c>
      <x:c r="L71" s="198" t="n">
        <x:f>SUMIFS('Costi &amp; Tool'!$G:$G,'Costi &amp; Tool'!$C:$C,A71,'Costi &amp; Tool'!$H:$H,"Sì")</x:f>
        <x:v>0</x:v>
      </x:c>
      <x:c r="M71" s="197"/>
      <x:c r="N71" s="197"/>
      <x:c r="O71" s="197"/>
      <x:c r="P71" s="198" t="n">
        <x:f>L71+M71+N71+O71</x:f>
        <x:v>0</x:v>
      </x:c>
      <x:c r="Q71" s="198" t="n">
        <x:f>SUMIFS('Attività &amp; Tempi'!$N:$N,'Attività &amp; Tempi'!$A:$A,A71,'Attività &amp; Tempi'!$E:$E,"Fabio")</x:f>
        <x:v>0</x:v>
      </x:c>
      <x:c r="R71" s="198" t="n">
        <x:f>SUMIFS('Attività &amp; Tempi'!$N:$N,'Attività &amp; Tempi'!$A:$A,A71,'Attività &amp; Tempi'!$E:$E,"Frego")</x:f>
        <x:v>0</x:v>
      </x:c>
      <x:c r="S71" s="198" t="n">
        <x:f>SUMIFS('Attività &amp; Tempi'!$N:$N,'Attività &amp; Tempi'!$A:$A,A71,'Attività &amp; Tempi'!$E:$E,"Jessica")</x:f>
        <x:v>0</x:v>
      </x:c>
      <x:c r="T71" s="198" t="n">
        <x:f>Q71*Impostazioni!$B$4+R71*Impostazioni!$B$5+S71*Impostazioni!$B$6</x:f>
        <x:v>0</x:v>
      </x:c>
      <x:c r="U71" s="197"/>
      <x:c r="V71" s="198" t="n">
        <x:f>IF(1-U71=0,"",ROUND((P71+T71)/(1-U71),0))</x:f>
        <x:v>0</x:v>
      </x:c>
      <x:c r="W71" s="198" t="n">
        <x:f>K71-P71</x:f>
        <x:v>0</x:v>
      </x:c>
      <x:c r="X71" s="198" t="n">
        <x:f>IF(K71=0,0,W71/K71)</x:f>
        <x:v>0</x:v>
      </x:c>
      <x:c r="Y71" s="198" t="str">
        <x:f>IF(K71&lt;V71,IF(OR(C71="Strategico / caso studio",C71="Partnership"),"Strategico ma sottoprezzato","Cliente sottoprezzato"),IF(X71&lt;0.3,"Cliente da rinegoziare",IF((Q71+R71+S71)&gt;80,"Cliente troppo pesante","Cliente sano")))</x:f>
        <x:v>Cliente da rinegoziare</x:v>
      </x:c>
      <x:c r="Z71" s="198" t="n">
        <x:f>MAX(W71,0)/2</x:f>
        <x:v>0</x:v>
      </x:c>
      <x:c r="AA71" s="198" t="n">
        <x:f>MAX(W71,0)/2</x:f>
        <x:v>0</x:v>
      </x:c>
      <x:c r="AB71" s="198" t="n">
        <x:f>Z71*Impostazioni!$B$7*Impostazioni!$B$8</x:f>
        <x:v>0</x:v>
      </x:c>
      <x:c r="AC71" s="198" t="n">
        <x:f>MAX(Z71*Impostazioni!$B$7-AB71,0)*Impostazioni!$B$9</x:f>
        <x:v>0</x:v>
      </x:c>
      <x:c r="AD71" s="198" t="n">
        <x:f>Z71-AB71-AC71</x:f>
        <x:v>0</x:v>
      </x:c>
      <x:c r="AE71" s="198" t="n">
        <x:f>IF(Q71=0,0,AD71/Q71)</x:f>
        <x:v>0</x:v>
      </x:c>
      <x:c r="AF71" s="198" t="n">
        <x:f>AA71-(AA71*Impostazioni!$B$7*Impostazioni!$B$8)-MAX(AA71*Impostazioni!$B$7-(AA71*Impostazioni!$B$7*Impostazioni!$B$8),0)*Impostazioni!$B$9</x:f>
        <x:v>0</x:v>
      </x:c>
      <x:c r="AG71" s="198" t="n">
        <x:f>IF(R71=0,0,AF71/R71)</x:f>
        <x:v>0</x:v>
      </x:c>
    </x:row>
    <x:row r="72">
      <x:c r="A72" s="197"/>
      <x:c r="B72" s="197"/>
      <x:c r="C72" s="197"/>
      <x:c r="D72" s="197"/>
      <x:c r="E72" s="197"/>
      <x:c r="F72" s="197"/>
      <x:c r="G72" s="197"/>
      <x:c r="H72" s="197"/>
      <x:c r="I72" s="197"/>
      <x:c r="J72" s="197"/>
      <x:c r="K72" s="198" t="n">
        <x:f>F72+H72+I72+J72</x:f>
        <x:v>0</x:v>
      </x:c>
      <x:c r="L72" s="198" t="n">
        <x:f>SUMIFS('Costi &amp; Tool'!$G:$G,'Costi &amp; Tool'!$C:$C,A72,'Costi &amp; Tool'!$H:$H,"Sì")</x:f>
        <x:v>0</x:v>
      </x:c>
      <x:c r="M72" s="197"/>
      <x:c r="N72" s="197"/>
      <x:c r="O72" s="197"/>
      <x:c r="P72" s="198" t="n">
        <x:f>L72+M72+N72+O72</x:f>
        <x:v>0</x:v>
      </x:c>
      <x:c r="Q72" s="198" t="n">
        <x:f>SUMIFS('Attività &amp; Tempi'!$N:$N,'Attività &amp; Tempi'!$A:$A,A72,'Attività &amp; Tempi'!$E:$E,"Fabio")</x:f>
        <x:v>0</x:v>
      </x:c>
      <x:c r="R72" s="198" t="n">
        <x:f>SUMIFS('Attività &amp; Tempi'!$N:$N,'Attività &amp; Tempi'!$A:$A,A72,'Attività &amp; Tempi'!$E:$E,"Frego")</x:f>
        <x:v>0</x:v>
      </x:c>
      <x:c r="S72" s="198" t="n">
        <x:f>SUMIFS('Attività &amp; Tempi'!$N:$N,'Attività &amp; Tempi'!$A:$A,A72,'Attività &amp; Tempi'!$E:$E,"Jessica")</x:f>
        <x:v>0</x:v>
      </x:c>
      <x:c r="T72" s="198" t="n">
        <x:f>Q72*Impostazioni!$B$4+R72*Impostazioni!$B$5+S72*Impostazioni!$B$6</x:f>
        <x:v>0</x:v>
      </x:c>
      <x:c r="U72" s="197"/>
      <x:c r="V72" s="198" t="n">
        <x:f>IF(1-U72=0,"",ROUND((P72+T72)/(1-U72),0))</x:f>
        <x:v>0</x:v>
      </x:c>
      <x:c r="W72" s="198" t="n">
        <x:f>K72-P72</x:f>
        <x:v>0</x:v>
      </x:c>
      <x:c r="X72" s="198" t="n">
        <x:f>IF(K72=0,0,W72/K72)</x:f>
        <x:v>0</x:v>
      </x:c>
      <x:c r="Y72" s="198" t="str">
        <x:f>IF(K72&lt;V72,IF(OR(C72="Strategico / caso studio",C72="Partnership"),"Strategico ma sottoprezzato","Cliente sottoprezzato"),IF(X72&lt;0.3,"Cliente da rinegoziare",IF((Q72+R72+S72)&gt;80,"Cliente troppo pesante","Cliente sano")))</x:f>
        <x:v>Cliente da rinegoziare</x:v>
      </x:c>
      <x:c r="Z72" s="198" t="n">
        <x:f>MAX(W72,0)/2</x:f>
        <x:v>0</x:v>
      </x:c>
      <x:c r="AA72" s="198" t="n">
        <x:f>MAX(W72,0)/2</x:f>
        <x:v>0</x:v>
      </x:c>
      <x:c r="AB72" s="198" t="n">
        <x:f>Z72*Impostazioni!$B$7*Impostazioni!$B$8</x:f>
        <x:v>0</x:v>
      </x:c>
      <x:c r="AC72" s="198" t="n">
        <x:f>MAX(Z72*Impostazioni!$B$7-AB72,0)*Impostazioni!$B$9</x:f>
        <x:v>0</x:v>
      </x:c>
      <x:c r="AD72" s="198" t="n">
        <x:f>Z72-AB72-AC72</x:f>
        <x:v>0</x:v>
      </x:c>
      <x:c r="AE72" s="198" t="n">
        <x:f>IF(Q72=0,0,AD72/Q72)</x:f>
        <x:v>0</x:v>
      </x:c>
      <x:c r="AF72" s="198" t="n">
        <x:f>AA72-(AA72*Impostazioni!$B$7*Impostazioni!$B$8)-MAX(AA72*Impostazioni!$B$7-(AA72*Impostazioni!$B$7*Impostazioni!$B$8),0)*Impostazioni!$B$9</x:f>
        <x:v>0</x:v>
      </x:c>
      <x:c r="AG72" s="198" t="n">
        <x:f>IF(R72=0,0,AF72/R72)</x:f>
        <x:v>0</x:v>
      </x:c>
    </x:row>
    <x:row r="73">
      <x:c r="A73" s="197"/>
      <x:c r="B73" s="197"/>
      <x:c r="C73" s="197"/>
      <x:c r="D73" s="197"/>
      <x:c r="E73" s="197"/>
      <x:c r="F73" s="197"/>
      <x:c r="G73" s="197"/>
      <x:c r="H73" s="197"/>
      <x:c r="I73" s="197"/>
      <x:c r="J73" s="197"/>
      <x:c r="K73" s="198" t="n">
        <x:f>F73+H73+I73+J73</x:f>
        <x:v>0</x:v>
      </x:c>
      <x:c r="L73" s="198" t="n">
        <x:f>SUMIFS('Costi &amp; Tool'!$G:$G,'Costi &amp; Tool'!$C:$C,A73,'Costi &amp; Tool'!$H:$H,"Sì")</x:f>
        <x:v>0</x:v>
      </x:c>
      <x:c r="M73" s="197"/>
      <x:c r="N73" s="197"/>
      <x:c r="O73" s="197"/>
      <x:c r="P73" s="198" t="n">
        <x:f>L73+M73+N73+O73</x:f>
        <x:v>0</x:v>
      </x:c>
      <x:c r="Q73" s="198" t="n">
        <x:f>SUMIFS('Attività &amp; Tempi'!$N:$N,'Attività &amp; Tempi'!$A:$A,A73,'Attività &amp; Tempi'!$E:$E,"Fabio")</x:f>
        <x:v>0</x:v>
      </x:c>
      <x:c r="R73" s="198" t="n">
        <x:f>SUMIFS('Attività &amp; Tempi'!$N:$N,'Attività &amp; Tempi'!$A:$A,A73,'Attività &amp; Tempi'!$E:$E,"Frego")</x:f>
        <x:v>0</x:v>
      </x:c>
      <x:c r="S73" s="198" t="n">
        <x:f>SUMIFS('Attività &amp; Tempi'!$N:$N,'Attività &amp; Tempi'!$A:$A,A73,'Attività &amp; Tempi'!$E:$E,"Jessica")</x:f>
        <x:v>0</x:v>
      </x:c>
      <x:c r="T73" s="198" t="n">
        <x:f>Q73*Impostazioni!$B$4+R73*Impostazioni!$B$5+S73*Impostazioni!$B$6</x:f>
        <x:v>0</x:v>
      </x:c>
      <x:c r="U73" s="197"/>
      <x:c r="V73" s="198" t="n">
        <x:f>IF(1-U73=0,"",ROUND((P73+T73)/(1-U73),0))</x:f>
        <x:v>0</x:v>
      </x:c>
      <x:c r="W73" s="198" t="n">
        <x:f>K73-P73</x:f>
        <x:v>0</x:v>
      </x:c>
      <x:c r="X73" s="198" t="n">
        <x:f>IF(K73=0,0,W73/K73)</x:f>
        <x:v>0</x:v>
      </x:c>
      <x:c r="Y73" s="198" t="str">
        <x:f>IF(K73&lt;V73,IF(OR(C73="Strategico / caso studio",C73="Partnership"),"Strategico ma sottoprezzato","Cliente sottoprezzato"),IF(X73&lt;0.3,"Cliente da rinegoziare",IF((Q73+R73+S73)&gt;80,"Cliente troppo pesante","Cliente sano")))</x:f>
        <x:v>Cliente da rinegoziare</x:v>
      </x:c>
      <x:c r="Z73" s="198" t="n">
        <x:f>MAX(W73,0)/2</x:f>
        <x:v>0</x:v>
      </x:c>
      <x:c r="AA73" s="198" t="n">
        <x:f>MAX(W73,0)/2</x:f>
        <x:v>0</x:v>
      </x:c>
      <x:c r="AB73" s="198" t="n">
        <x:f>Z73*Impostazioni!$B$7*Impostazioni!$B$8</x:f>
        <x:v>0</x:v>
      </x:c>
      <x:c r="AC73" s="198" t="n">
        <x:f>MAX(Z73*Impostazioni!$B$7-AB73,0)*Impostazioni!$B$9</x:f>
        <x:v>0</x:v>
      </x:c>
      <x:c r="AD73" s="198" t="n">
        <x:f>Z73-AB73-AC73</x:f>
        <x:v>0</x:v>
      </x:c>
      <x:c r="AE73" s="198" t="n">
        <x:f>IF(Q73=0,0,AD73/Q73)</x:f>
        <x:v>0</x:v>
      </x:c>
      <x:c r="AF73" s="198" t="n">
        <x:f>AA73-(AA73*Impostazioni!$B$7*Impostazioni!$B$8)-MAX(AA73*Impostazioni!$B$7-(AA73*Impostazioni!$B$7*Impostazioni!$B$8),0)*Impostazioni!$B$9</x:f>
        <x:v>0</x:v>
      </x:c>
      <x:c r="AG73" s="198" t="n">
        <x:f>IF(R73=0,0,AF73/R73)</x:f>
        <x:v>0</x:v>
      </x:c>
    </x:row>
    <x:row r="74">
      <x:c r="A74" s="197"/>
      <x:c r="B74" s="197"/>
      <x:c r="C74" s="197"/>
      <x:c r="D74" s="197"/>
      <x:c r="E74" s="197"/>
      <x:c r="F74" s="197"/>
      <x:c r="G74" s="197"/>
      <x:c r="H74" s="197"/>
      <x:c r="I74" s="197"/>
      <x:c r="J74" s="197"/>
      <x:c r="K74" s="198" t="n">
        <x:f>F74+H74+I74+J74</x:f>
        <x:v>0</x:v>
      </x:c>
      <x:c r="L74" s="198" t="n">
        <x:f>SUMIFS('Costi &amp; Tool'!$G:$G,'Costi &amp; Tool'!$C:$C,A74,'Costi &amp; Tool'!$H:$H,"Sì")</x:f>
        <x:v>0</x:v>
      </x:c>
      <x:c r="M74" s="197"/>
      <x:c r="N74" s="197"/>
      <x:c r="O74" s="197"/>
      <x:c r="P74" s="198" t="n">
        <x:f>L74+M74+N74+O74</x:f>
        <x:v>0</x:v>
      </x:c>
      <x:c r="Q74" s="198" t="n">
        <x:f>SUMIFS('Attività &amp; Tempi'!$N:$N,'Attività &amp; Tempi'!$A:$A,A74,'Attività &amp; Tempi'!$E:$E,"Fabio")</x:f>
        <x:v>0</x:v>
      </x:c>
      <x:c r="R74" s="198" t="n">
        <x:f>SUMIFS('Attività &amp; Tempi'!$N:$N,'Attività &amp; Tempi'!$A:$A,A74,'Attività &amp; Tempi'!$E:$E,"Frego")</x:f>
        <x:v>0</x:v>
      </x:c>
      <x:c r="S74" s="198" t="n">
        <x:f>SUMIFS('Attività &amp; Tempi'!$N:$N,'Attività &amp; Tempi'!$A:$A,A74,'Attività &amp; Tempi'!$E:$E,"Jessica")</x:f>
        <x:v>0</x:v>
      </x:c>
      <x:c r="T74" s="198" t="n">
        <x:f>Q74*Impostazioni!$B$4+R74*Impostazioni!$B$5+S74*Impostazioni!$B$6</x:f>
        <x:v>0</x:v>
      </x:c>
      <x:c r="U74" s="197"/>
      <x:c r="V74" s="198" t="n">
        <x:f>IF(1-U74=0,"",ROUND((P74+T74)/(1-U74),0))</x:f>
        <x:v>0</x:v>
      </x:c>
      <x:c r="W74" s="198" t="n">
        <x:f>K74-P74</x:f>
        <x:v>0</x:v>
      </x:c>
      <x:c r="X74" s="198" t="n">
        <x:f>IF(K74=0,0,W74/K74)</x:f>
        <x:v>0</x:v>
      </x:c>
      <x:c r="Y74" s="198" t="str">
        <x:f>IF(K74&lt;V74,IF(OR(C74="Strategico / caso studio",C74="Partnership"),"Strategico ma sottoprezzato","Cliente sottoprezzato"),IF(X74&lt;0.3,"Cliente da rinegoziare",IF((Q74+R74+S74)&gt;80,"Cliente troppo pesante","Cliente sano")))</x:f>
        <x:v>Cliente da rinegoziare</x:v>
      </x:c>
      <x:c r="Z74" s="198" t="n">
        <x:f>MAX(W74,0)/2</x:f>
        <x:v>0</x:v>
      </x:c>
      <x:c r="AA74" s="198" t="n">
        <x:f>MAX(W74,0)/2</x:f>
        <x:v>0</x:v>
      </x:c>
      <x:c r="AB74" s="198" t="n">
        <x:f>Z74*Impostazioni!$B$7*Impostazioni!$B$8</x:f>
        <x:v>0</x:v>
      </x:c>
      <x:c r="AC74" s="198" t="n">
        <x:f>MAX(Z74*Impostazioni!$B$7-AB74,0)*Impostazioni!$B$9</x:f>
        <x:v>0</x:v>
      </x:c>
      <x:c r="AD74" s="198" t="n">
        <x:f>Z74-AB74-AC74</x:f>
        <x:v>0</x:v>
      </x:c>
      <x:c r="AE74" s="198" t="n">
        <x:f>IF(Q74=0,0,AD74/Q74)</x:f>
        <x:v>0</x:v>
      </x:c>
      <x:c r="AF74" s="198" t="n">
        <x:f>AA74-(AA74*Impostazioni!$B$7*Impostazioni!$B$8)-MAX(AA74*Impostazioni!$B$7-(AA74*Impostazioni!$B$7*Impostazioni!$B$8),0)*Impostazioni!$B$9</x:f>
        <x:v>0</x:v>
      </x:c>
      <x:c r="AG74" s="198" t="n">
        <x:f>IF(R74=0,0,AF74/R74)</x:f>
        <x:v>0</x:v>
      </x:c>
    </x:row>
    <x:row r="75">
      <x:c r="A75" s="197"/>
      <x:c r="B75" s="197"/>
      <x:c r="C75" s="197"/>
      <x:c r="D75" s="197"/>
      <x:c r="E75" s="197"/>
      <x:c r="F75" s="197"/>
      <x:c r="G75" s="197"/>
      <x:c r="H75" s="197"/>
      <x:c r="I75" s="197"/>
      <x:c r="J75" s="197"/>
      <x:c r="K75" s="198" t="n">
        <x:f>F75+H75+I75+J75</x:f>
        <x:v>0</x:v>
      </x:c>
      <x:c r="L75" s="198" t="n">
        <x:f>SUMIFS('Costi &amp; Tool'!$G:$G,'Costi &amp; Tool'!$C:$C,A75,'Costi &amp; Tool'!$H:$H,"Sì")</x:f>
        <x:v>0</x:v>
      </x:c>
      <x:c r="M75" s="197"/>
      <x:c r="N75" s="197"/>
      <x:c r="O75" s="197"/>
      <x:c r="P75" s="198" t="n">
        <x:f>L75+M75+N75+O75</x:f>
        <x:v>0</x:v>
      </x:c>
      <x:c r="Q75" s="198" t="n">
        <x:f>SUMIFS('Attività &amp; Tempi'!$N:$N,'Attività &amp; Tempi'!$A:$A,A75,'Attività &amp; Tempi'!$E:$E,"Fabio")</x:f>
        <x:v>0</x:v>
      </x:c>
      <x:c r="R75" s="198" t="n">
        <x:f>SUMIFS('Attività &amp; Tempi'!$N:$N,'Attività &amp; Tempi'!$A:$A,A75,'Attività &amp; Tempi'!$E:$E,"Frego")</x:f>
        <x:v>0</x:v>
      </x:c>
      <x:c r="S75" s="198" t="n">
        <x:f>SUMIFS('Attività &amp; Tempi'!$N:$N,'Attività &amp; Tempi'!$A:$A,A75,'Attività &amp; Tempi'!$E:$E,"Jessica")</x:f>
        <x:v>0</x:v>
      </x:c>
      <x:c r="T75" s="198" t="n">
        <x:f>Q75*Impostazioni!$B$4+R75*Impostazioni!$B$5+S75*Impostazioni!$B$6</x:f>
        <x:v>0</x:v>
      </x:c>
      <x:c r="U75" s="197"/>
      <x:c r="V75" s="198" t="n">
        <x:f>IF(1-U75=0,"",ROUND((P75+T75)/(1-U75),0))</x:f>
        <x:v>0</x:v>
      </x:c>
      <x:c r="W75" s="198" t="n">
        <x:f>K75-P75</x:f>
        <x:v>0</x:v>
      </x:c>
      <x:c r="X75" s="198" t="n">
        <x:f>IF(K75=0,0,W75/K75)</x:f>
        <x:v>0</x:v>
      </x:c>
      <x:c r="Y75" s="198" t="str">
        <x:f>IF(K75&lt;V75,IF(OR(C75="Strategico / caso studio",C75="Partnership"),"Strategico ma sottoprezzato","Cliente sottoprezzato"),IF(X75&lt;0.3,"Cliente da rinegoziare",IF((Q75+R75+S75)&gt;80,"Cliente troppo pesante","Cliente sano")))</x:f>
        <x:v>Cliente da rinegoziare</x:v>
      </x:c>
      <x:c r="Z75" s="198" t="n">
        <x:f>MAX(W75,0)/2</x:f>
        <x:v>0</x:v>
      </x:c>
      <x:c r="AA75" s="198" t="n">
        <x:f>MAX(W75,0)/2</x:f>
        <x:v>0</x:v>
      </x:c>
      <x:c r="AB75" s="198" t="n">
        <x:f>Z75*Impostazioni!$B$7*Impostazioni!$B$8</x:f>
        <x:v>0</x:v>
      </x:c>
      <x:c r="AC75" s="198" t="n">
        <x:f>MAX(Z75*Impostazioni!$B$7-AB75,0)*Impostazioni!$B$9</x:f>
        <x:v>0</x:v>
      </x:c>
      <x:c r="AD75" s="198" t="n">
        <x:f>Z75-AB75-AC75</x:f>
        <x:v>0</x:v>
      </x:c>
      <x:c r="AE75" s="198" t="n">
        <x:f>IF(Q75=0,0,AD75/Q75)</x:f>
        <x:v>0</x:v>
      </x:c>
      <x:c r="AF75" s="198" t="n">
        <x:f>AA75-(AA75*Impostazioni!$B$7*Impostazioni!$B$8)-MAX(AA75*Impostazioni!$B$7-(AA75*Impostazioni!$B$7*Impostazioni!$B$8),0)*Impostazioni!$B$9</x:f>
        <x:v>0</x:v>
      </x:c>
      <x:c r="AG75" s="198" t="n">
        <x:f>IF(R75=0,0,AF75/R75)</x:f>
        <x:v>0</x:v>
      </x:c>
    </x:row>
    <x:row r="76">
      <x:c r="A76" s="197"/>
      <x:c r="B76" s="197"/>
      <x:c r="C76" s="197"/>
      <x:c r="D76" s="197"/>
      <x:c r="E76" s="197"/>
      <x:c r="F76" s="197"/>
      <x:c r="G76" s="197"/>
      <x:c r="H76" s="197"/>
      <x:c r="I76" s="197"/>
      <x:c r="J76" s="197"/>
      <x:c r="K76" s="198" t="n">
        <x:f>F76+H76+I76+J76</x:f>
        <x:v>0</x:v>
      </x:c>
      <x:c r="L76" s="198" t="n">
        <x:f>SUMIFS('Costi &amp; Tool'!$G:$G,'Costi &amp; Tool'!$C:$C,A76,'Costi &amp; Tool'!$H:$H,"Sì")</x:f>
        <x:v>0</x:v>
      </x:c>
      <x:c r="M76" s="197"/>
      <x:c r="N76" s="197"/>
      <x:c r="O76" s="197"/>
      <x:c r="P76" s="198" t="n">
        <x:f>L76+M76+N76+O76</x:f>
        <x:v>0</x:v>
      </x:c>
      <x:c r="Q76" s="198" t="n">
        <x:f>SUMIFS('Attività &amp; Tempi'!$N:$N,'Attività &amp; Tempi'!$A:$A,A76,'Attività &amp; Tempi'!$E:$E,"Fabio")</x:f>
        <x:v>0</x:v>
      </x:c>
      <x:c r="R76" s="198" t="n">
        <x:f>SUMIFS('Attività &amp; Tempi'!$N:$N,'Attività &amp; Tempi'!$A:$A,A76,'Attività &amp; Tempi'!$E:$E,"Frego")</x:f>
        <x:v>0</x:v>
      </x:c>
      <x:c r="S76" s="198" t="n">
        <x:f>SUMIFS('Attività &amp; Tempi'!$N:$N,'Attività &amp; Tempi'!$A:$A,A76,'Attività &amp; Tempi'!$E:$E,"Jessica")</x:f>
        <x:v>0</x:v>
      </x:c>
      <x:c r="T76" s="198" t="n">
        <x:f>Q76*Impostazioni!$B$4+R76*Impostazioni!$B$5+S76*Impostazioni!$B$6</x:f>
        <x:v>0</x:v>
      </x:c>
      <x:c r="U76" s="197"/>
      <x:c r="V76" s="198" t="n">
        <x:f>IF(1-U76=0,"",ROUND((P76+T76)/(1-U76),0))</x:f>
        <x:v>0</x:v>
      </x:c>
      <x:c r="W76" s="198" t="n">
        <x:f>K76-P76</x:f>
        <x:v>0</x:v>
      </x:c>
      <x:c r="X76" s="198" t="n">
        <x:f>IF(K76=0,0,W76/K76)</x:f>
        <x:v>0</x:v>
      </x:c>
      <x:c r="Y76" s="198" t="str">
        <x:f>IF(K76&lt;V76,IF(OR(C76="Strategico / caso studio",C76="Partnership"),"Strategico ma sottoprezzato","Cliente sottoprezzato"),IF(X76&lt;0.3,"Cliente da rinegoziare",IF((Q76+R76+S76)&gt;80,"Cliente troppo pesante","Cliente sano")))</x:f>
        <x:v>Cliente da rinegoziare</x:v>
      </x:c>
      <x:c r="Z76" s="198" t="n">
        <x:f>MAX(W76,0)/2</x:f>
        <x:v>0</x:v>
      </x:c>
      <x:c r="AA76" s="198" t="n">
        <x:f>MAX(W76,0)/2</x:f>
        <x:v>0</x:v>
      </x:c>
      <x:c r="AB76" s="198" t="n">
        <x:f>Z76*Impostazioni!$B$7*Impostazioni!$B$8</x:f>
        <x:v>0</x:v>
      </x:c>
      <x:c r="AC76" s="198" t="n">
        <x:f>MAX(Z76*Impostazioni!$B$7-AB76,0)*Impostazioni!$B$9</x:f>
        <x:v>0</x:v>
      </x:c>
      <x:c r="AD76" s="198" t="n">
        <x:f>Z76-AB76-AC76</x:f>
        <x:v>0</x:v>
      </x:c>
      <x:c r="AE76" s="198" t="n">
        <x:f>IF(Q76=0,0,AD76/Q76)</x:f>
        <x:v>0</x:v>
      </x:c>
      <x:c r="AF76" s="198" t="n">
        <x:f>AA76-(AA76*Impostazioni!$B$7*Impostazioni!$B$8)-MAX(AA76*Impostazioni!$B$7-(AA76*Impostazioni!$B$7*Impostazioni!$B$8),0)*Impostazioni!$B$9</x:f>
        <x:v>0</x:v>
      </x:c>
      <x:c r="AG76" s="198" t="n">
        <x:f>IF(R76=0,0,AF76/R76)</x:f>
        <x:v>0</x:v>
      </x:c>
    </x:row>
    <x:row r="77">
      <x:c r="A77" s="197"/>
      <x:c r="B77" s="197"/>
      <x:c r="C77" s="197"/>
      <x:c r="D77" s="197"/>
      <x:c r="E77" s="197"/>
      <x:c r="F77" s="197"/>
      <x:c r="G77" s="197"/>
      <x:c r="H77" s="197"/>
      <x:c r="I77" s="197"/>
      <x:c r="J77" s="197"/>
      <x:c r="K77" s="198" t="n">
        <x:f>F77+H77+I77+J77</x:f>
        <x:v>0</x:v>
      </x:c>
      <x:c r="L77" s="198" t="n">
        <x:f>SUMIFS('Costi &amp; Tool'!$G:$G,'Costi &amp; Tool'!$C:$C,A77,'Costi &amp; Tool'!$H:$H,"Sì")</x:f>
        <x:v>0</x:v>
      </x:c>
      <x:c r="M77" s="197"/>
      <x:c r="N77" s="197"/>
      <x:c r="O77" s="197"/>
      <x:c r="P77" s="198" t="n">
        <x:f>L77+M77+N77+O77</x:f>
        <x:v>0</x:v>
      </x:c>
      <x:c r="Q77" s="198" t="n">
        <x:f>SUMIFS('Attività &amp; Tempi'!$N:$N,'Attività &amp; Tempi'!$A:$A,A77,'Attività &amp; Tempi'!$E:$E,"Fabio")</x:f>
        <x:v>0</x:v>
      </x:c>
      <x:c r="R77" s="198" t="n">
        <x:f>SUMIFS('Attività &amp; Tempi'!$N:$N,'Attività &amp; Tempi'!$A:$A,A77,'Attività &amp; Tempi'!$E:$E,"Frego")</x:f>
        <x:v>0</x:v>
      </x:c>
      <x:c r="S77" s="198" t="n">
        <x:f>SUMIFS('Attività &amp; Tempi'!$N:$N,'Attività &amp; Tempi'!$A:$A,A77,'Attività &amp; Tempi'!$E:$E,"Jessica")</x:f>
        <x:v>0</x:v>
      </x:c>
      <x:c r="T77" s="198" t="n">
        <x:f>Q77*Impostazioni!$B$4+R77*Impostazioni!$B$5+S77*Impostazioni!$B$6</x:f>
        <x:v>0</x:v>
      </x:c>
      <x:c r="U77" s="197"/>
      <x:c r="V77" s="198" t="n">
        <x:f>IF(1-U77=0,"",ROUND((P77+T77)/(1-U77),0))</x:f>
        <x:v>0</x:v>
      </x:c>
      <x:c r="W77" s="198" t="n">
        <x:f>K77-P77</x:f>
        <x:v>0</x:v>
      </x:c>
      <x:c r="X77" s="198" t="n">
        <x:f>IF(K77=0,0,W77/K77)</x:f>
        <x:v>0</x:v>
      </x:c>
      <x:c r="Y77" s="198" t="str">
        <x:f>IF(K77&lt;V77,IF(OR(C77="Strategico / caso studio",C77="Partnership"),"Strategico ma sottoprezzato","Cliente sottoprezzato"),IF(X77&lt;0.3,"Cliente da rinegoziare",IF((Q77+R77+S77)&gt;80,"Cliente troppo pesante","Cliente sano")))</x:f>
        <x:v>Cliente da rinegoziare</x:v>
      </x:c>
      <x:c r="Z77" s="198" t="n">
        <x:f>MAX(W77,0)/2</x:f>
        <x:v>0</x:v>
      </x:c>
      <x:c r="AA77" s="198" t="n">
        <x:f>MAX(W77,0)/2</x:f>
        <x:v>0</x:v>
      </x:c>
      <x:c r="AB77" s="198" t="n">
        <x:f>Z77*Impostazioni!$B$7*Impostazioni!$B$8</x:f>
        <x:v>0</x:v>
      </x:c>
      <x:c r="AC77" s="198" t="n">
        <x:f>MAX(Z77*Impostazioni!$B$7-AB77,0)*Impostazioni!$B$9</x:f>
        <x:v>0</x:v>
      </x:c>
      <x:c r="AD77" s="198" t="n">
        <x:f>Z77-AB77-AC77</x:f>
        <x:v>0</x:v>
      </x:c>
      <x:c r="AE77" s="198" t="n">
        <x:f>IF(Q77=0,0,AD77/Q77)</x:f>
        <x:v>0</x:v>
      </x:c>
      <x:c r="AF77" s="198" t="n">
        <x:f>AA77-(AA77*Impostazioni!$B$7*Impostazioni!$B$8)-MAX(AA77*Impostazioni!$B$7-(AA77*Impostazioni!$B$7*Impostazioni!$B$8),0)*Impostazioni!$B$9</x:f>
        <x:v>0</x:v>
      </x:c>
      <x:c r="AG77" s="198" t="n">
        <x:f>IF(R77=0,0,AF77/R77)</x:f>
        <x:v>0</x:v>
      </x:c>
    </x:row>
    <x:row r="78">
      <x:c r="A78" s="197"/>
      <x:c r="B78" s="197"/>
      <x:c r="C78" s="197"/>
      <x:c r="D78" s="197"/>
      <x:c r="E78" s="197"/>
      <x:c r="F78" s="197"/>
      <x:c r="G78" s="197"/>
      <x:c r="H78" s="197"/>
      <x:c r="I78" s="197"/>
      <x:c r="J78" s="197"/>
      <x:c r="K78" s="198" t="n">
        <x:f>F78+H78+I78+J78</x:f>
        <x:v>0</x:v>
      </x:c>
      <x:c r="L78" s="198" t="n">
        <x:f>SUMIFS('Costi &amp; Tool'!$G:$G,'Costi &amp; Tool'!$C:$C,A78,'Costi &amp; Tool'!$H:$H,"Sì")</x:f>
        <x:v>0</x:v>
      </x:c>
      <x:c r="M78" s="197"/>
      <x:c r="N78" s="197"/>
      <x:c r="O78" s="197"/>
      <x:c r="P78" s="198" t="n">
        <x:f>L78+M78+N78+O78</x:f>
        <x:v>0</x:v>
      </x:c>
      <x:c r="Q78" s="198" t="n">
        <x:f>SUMIFS('Attività &amp; Tempi'!$N:$N,'Attività &amp; Tempi'!$A:$A,A78,'Attività &amp; Tempi'!$E:$E,"Fabio")</x:f>
        <x:v>0</x:v>
      </x:c>
      <x:c r="R78" s="198" t="n">
        <x:f>SUMIFS('Attività &amp; Tempi'!$N:$N,'Attività &amp; Tempi'!$A:$A,A78,'Attività &amp; Tempi'!$E:$E,"Frego")</x:f>
        <x:v>0</x:v>
      </x:c>
      <x:c r="S78" s="198" t="n">
        <x:f>SUMIFS('Attività &amp; Tempi'!$N:$N,'Attività &amp; Tempi'!$A:$A,A78,'Attività &amp; Tempi'!$E:$E,"Jessica")</x:f>
        <x:v>0</x:v>
      </x:c>
      <x:c r="T78" s="198" t="n">
        <x:f>Q78*Impostazioni!$B$4+R78*Impostazioni!$B$5+S78*Impostazioni!$B$6</x:f>
        <x:v>0</x:v>
      </x:c>
      <x:c r="U78" s="197"/>
      <x:c r="V78" s="198" t="n">
        <x:f>IF(1-U78=0,"",ROUND((P78+T78)/(1-U78),0))</x:f>
        <x:v>0</x:v>
      </x:c>
      <x:c r="W78" s="198" t="n">
        <x:f>K78-P78</x:f>
        <x:v>0</x:v>
      </x:c>
      <x:c r="X78" s="198" t="n">
        <x:f>IF(K78=0,0,W78/K78)</x:f>
        <x:v>0</x:v>
      </x:c>
      <x:c r="Y78" s="198" t="str">
        <x:f>IF(K78&lt;V78,IF(OR(C78="Strategico / caso studio",C78="Partnership"),"Strategico ma sottoprezzato","Cliente sottoprezzato"),IF(X78&lt;0.3,"Cliente da rinegoziare",IF((Q78+R78+S78)&gt;80,"Cliente troppo pesante","Cliente sano")))</x:f>
        <x:v>Cliente da rinegoziare</x:v>
      </x:c>
      <x:c r="Z78" s="198" t="n">
        <x:f>MAX(W78,0)/2</x:f>
        <x:v>0</x:v>
      </x:c>
      <x:c r="AA78" s="198" t="n">
        <x:f>MAX(W78,0)/2</x:f>
        <x:v>0</x:v>
      </x:c>
      <x:c r="AB78" s="198" t="n">
        <x:f>Z78*Impostazioni!$B$7*Impostazioni!$B$8</x:f>
        <x:v>0</x:v>
      </x:c>
      <x:c r="AC78" s="198" t="n">
        <x:f>MAX(Z78*Impostazioni!$B$7-AB78,0)*Impostazioni!$B$9</x:f>
        <x:v>0</x:v>
      </x:c>
      <x:c r="AD78" s="198" t="n">
        <x:f>Z78-AB78-AC78</x:f>
        <x:v>0</x:v>
      </x:c>
      <x:c r="AE78" s="198" t="n">
        <x:f>IF(Q78=0,0,AD78/Q78)</x:f>
        <x:v>0</x:v>
      </x:c>
      <x:c r="AF78" s="198" t="n">
        <x:f>AA78-(AA78*Impostazioni!$B$7*Impostazioni!$B$8)-MAX(AA78*Impostazioni!$B$7-(AA78*Impostazioni!$B$7*Impostazioni!$B$8),0)*Impostazioni!$B$9</x:f>
        <x:v>0</x:v>
      </x:c>
      <x:c r="AG78" s="198" t="n">
        <x:f>IF(R78=0,0,AF78/R78)</x:f>
        <x:v>0</x:v>
      </x:c>
    </x:row>
    <x:row r="79">
      <x:c r="A79" s="197"/>
      <x:c r="B79" s="197"/>
      <x:c r="C79" s="197"/>
      <x:c r="D79" s="197"/>
      <x:c r="E79" s="197"/>
      <x:c r="F79" s="197"/>
      <x:c r="G79" s="197"/>
      <x:c r="H79" s="197"/>
      <x:c r="I79" s="197"/>
      <x:c r="J79" s="197"/>
      <x:c r="K79" s="198" t="n">
        <x:f>F79+H79+I79+J79</x:f>
        <x:v>0</x:v>
      </x:c>
      <x:c r="L79" s="198" t="n">
        <x:f>SUMIFS('Costi &amp; Tool'!$G:$G,'Costi &amp; Tool'!$C:$C,A79,'Costi &amp; Tool'!$H:$H,"Sì")</x:f>
        <x:v>0</x:v>
      </x:c>
      <x:c r="M79" s="197"/>
      <x:c r="N79" s="197"/>
      <x:c r="O79" s="197"/>
      <x:c r="P79" s="198" t="n">
        <x:f>L79+M79+N79+O79</x:f>
        <x:v>0</x:v>
      </x:c>
      <x:c r="Q79" s="198" t="n">
        <x:f>SUMIFS('Attività &amp; Tempi'!$N:$N,'Attività &amp; Tempi'!$A:$A,A79,'Attività &amp; Tempi'!$E:$E,"Fabio")</x:f>
        <x:v>0</x:v>
      </x:c>
      <x:c r="R79" s="198" t="n">
        <x:f>SUMIFS('Attività &amp; Tempi'!$N:$N,'Attività &amp; Tempi'!$A:$A,A79,'Attività &amp; Tempi'!$E:$E,"Frego")</x:f>
        <x:v>0</x:v>
      </x:c>
      <x:c r="S79" s="198" t="n">
        <x:f>SUMIFS('Attività &amp; Tempi'!$N:$N,'Attività &amp; Tempi'!$A:$A,A79,'Attività &amp; Tempi'!$E:$E,"Jessica")</x:f>
        <x:v>0</x:v>
      </x:c>
      <x:c r="T79" s="198" t="n">
        <x:f>Q79*Impostazioni!$B$4+R79*Impostazioni!$B$5+S79*Impostazioni!$B$6</x:f>
        <x:v>0</x:v>
      </x:c>
      <x:c r="U79" s="197"/>
      <x:c r="V79" s="198" t="n">
        <x:f>IF(1-U79=0,"",ROUND((P79+T79)/(1-U79),0))</x:f>
        <x:v>0</x:v>
      </x:c>
      <x:c r="W79" s="198" t="n">
        <x:f>K79-P79</x:f>
        <x:v>0</x:v>
      </x:c>
      <x:c r="X79" s="198" t="n">
        <x:f>IF(K79=0,0,W79/K79)</x:f>
        <x:v>0</x:v>
      </x:c>
      <x:c r="Y79" s="198" t="str">
        <x:f>IF(K79&lt;V79,IF(OR(C79="Strategico / caso studio",C79="Partnership"),"Strategico ma sottoprezzato","Cliente sottoprezzato"),IF(X79&lt;0.3,"Cliente da rinegoziare",IF((Q79+R79+S79)&gt;80,"Cliente troppo pesante","Cliente sano")))</x:f>
        <x:v>Cliente da rinegoziare</x:v>
      </x:c>
      <x:c r="Z79" s="198" t="n">
        <x:f>MAX(W79,0)/2</x:f>
        <x:v>0</x:v>
      </x:c>
      <x:c r="AA79" s="198" t="n">
        <x:f>MAX(W79,0)/2</x:f>
        <x:v>0</x:v>
      </x:c>
      <x:c r="AB79" s="198" t="n">
        <x:f>Z79*Impostazioni!$B$7*Impostazioni!$B$8</x:f>
        <x:v>0</x:v>
      </x:c>
      <x:c r="AC79" s="198" t="n">
        <x:f>MAX(Z79*Impostazioni!$B$7-AB79,0)*Impostazioni!$B$9</x:f>
        <x:v>0</x:v>
      </x:c>
      <x:c r="AD79" s="198" t="n">
        <x:f>Z79-AB79-AC79</x:f>
        <x:v>0</x:v>
      </x:c>
      <x:c r="AE79" s="198" t="n">
        <x:f>IF(Q79=0,0,AD79/Q79)</x:f>
        <x:v>0</x:v>
      </x:c>
      <x:c r="AF79" s="198" t="n">
        <x:f>AA79-(AA79*Impostazioni!$B$7*Impostazioni!$B$8)-MAX(AA79*Impostazioni!$B$7-(AA79*Impostazioni!$B$7*Impostazioni!$B$8),0)*Impostazioni!$B$9</x:f>
        <x:v>0</x:v>
      </x:c>
      <x:c r="AG79" s="198" t="n">
        <x:f>IF(R79=0,0,AF79/R79)</x:f>
        <x:v>0</x:v>
      </x:c>
    </x:row>
    <x:row r="80">
      <x:c r="A80" s="197"/>
      <x:c r="B80" s="197"/>
      <x:c r="C80" s="197"/>
      <x:c r="D80" s="197"/>
      <x:c r="E80" s="197"/>
      <x:c r="F80" s="197"/>
      <x:c r="G80" s="197"/>
      <x:c r="H80" s="197"/>
      <x:c r="I80" s="197"/>
      <x:c r="J80" s="197"/>
      <x:c r="K80" s="198" t="n">
        <x:f>F80+H80+I80+J80</x:f>
        <x:v>0</x:v>
      </x:c>
      <x:c r="L80" s="198" t="n">
        <x:f>SUMIFS('Costi &amp; Tool'!$G:$G,'Costi &amp; Tool'!$C:$C,A80,'Costi &amp; Tool'!$H:$H,"Sì")</x:f>
        <x:v>0</x:v>
      </x:c>
      <x:c r="M80" s="197"/>
      <x:c r="N80" s="197"/>
      <x:c r="O80" s="197"/>
      <x:c r="P80" s="198" t="n">
        <x:f>L80+M80+N80+O80</x:f>
        <x:v>0</x:v>
      </x:c>
      <x:c r="Q80" s="198" t="n">
        <x:f>SUMIFS('Attività &amp; Tempi'!$N:$N,'Attività &amp; Tempi'!$A:$A,A80,'Attività &amp; Tempi'!$E:$E,"Fabio")</x:f>
        <x:v>0</x:v>
      </x:c>
      <x:c r="R80" s="198" t="n">
        <x:f>SUMIFS('Attività &amp; Tempi'!$N:$N,'Attività &amp; Tempi'!$A:$A,A80,'Attività &amp; Tempi'!$E:$E,"Frego")</x:f>
        <x:v>0</x:v>
      </x:c>
      <x:c r="S80" s="198" t="n">
        <x:f>SUMIFS('Attività &amp; Tempi'!$N:$N,'Attività &amp; Tempi'!$A:$A,A80,'Attività &amp; Tempi'!$E:$E,"Jessica")</x:f>
        <x:v>0</x:v>
      </x:c>
      <x:c r="T80" s="198" t="n">
        <x:f>Q80*Impostazioni!$B$4+R80*Impostazioni!$B$5+S80*Impostazioni!$B$6</x:f>
        <x:v>0</x:v>
      </x:c>
      <x:c r="U80" s="197"/>
      <x:c r="V80" s="198" t="n">
        <x:f>IF(1-U80=0,"",ROUND((P80+T80)/(1-U80),0))</x:f>
        <x:v>0</x:v>
      </x:c>
      <x:c r="W80" s="198" t="n">
        <x:f>K80-P80</x:f>
        <x:v>0</x:v>
      </x:c>
      <x:c r="X80" s="198" t="n">
        <x:f>IF(K80=0,0,W80/K80)</x:f>
        <x:v>0</x:v>
      </x:c>
      <x:c r="Y80" s="198" t="str">
        <x:f>IF(K80&lt;V80,IF(OR(C80="Strategico / caso studio",C80="Partnership"),"Strategico ma sottoprezzato","Cliente sottoprezzato"),IF(X80&lt;0.3,"Cliente da rinegoziare",IF((Q80+R80+S80)&gt;80,"Cliente troppo pesante","Cliente sano")))</x:f>
        <x:v>Cliente da rinegoziare</x:v>
      </x:c>
      <x:c r="Z80" s="198" t="n">
        <x:f>MAX(W80,0)/2</x:f>
        <x:v>0</x:v>
      </x:c>
      <x:c r="AA80" s="198" t="n">
        <x:f>MAX(W80,0)/2</x:f>
        <x:v>0</x:v>
      </x:c>
      <x:c r="AB80" s="198" t="n">
        <x:f>Z80*Impostazioni!$B$7*Impostazioni!$B$8</x:f>
        <x:v>0</x:v>
      </x:c>
      <x:c r="AC80" s="198" t="n">
        <x:f>MAX(Z80*Impostazioni!$B$7-AB80,0)*Impostazioni!$B$9</x:f>
        <x:v>0</x:v>
      </x:c>
      <x:c r="AD80" s="198" t="n">
        <x:f>Z80-AB80-AC80</x:f>
        <x:v>0</x:v>
      </x:c>
      <x:c r="AE80" s="198" t="n">
        <x:f>IF(Q80=0,0,AD80/Q80)</x:f>
        <x:v>0</x:v>
      </x:c>
      <x:c r="AF80" s="198" t="n">
        <x:f>AA80-(AA80*Impostazioni!$B$7*Impostazioni!$B$8)-MAX(AA80*Impostazioni!$B$7-(AA80*Impostazioni!$B$7*Impostazioni!$B$8),0)*Impostazioni!$B$9</x:f>
        <x:v>0</x:v>
      </x:c>
      <x:c r="AG80" s="198" t="n">
        <x:f>IF(R80=0,0,AF80/R80)</x:f>
        <x:v>0</x:v>
      </x:c>
    </x:row>
    <x:row r="81">
      <x:c r="A81" s="197"/>
      <x:c r="B81" s="197"/>
      <x:c r="C81" s="197"/>
      <x:c r="D81" s="197"/>
      <x:c r="E81" s="197"/>
      <x:c r="F81" s="197"/>
      <x:c r="G81" s="197"/>
      <x:c r="H81" s="197"/>
      <x:c r="I81" s="197"/>
      <x:c r="J81" s="197"/>
      <x:c r="K81" s="198" t="n">
        <x:f>F81+H81+I81+J81</x:f>
        <x:v>0</x:v>
      </x:c>
      <x:c r="L81" s="198" t="n">
        <x:f>SUMIFS('Costi &amp; Tool'!$G:$G,'Costi &amp; Tool'!$C:$C,A81,'Costi &amp; Tool'!$H:$H,"Sì")</x:f>
        <x:v>0</x:v>
      </x:c>
      <x:c r="M81" s="197"/>
      <x:c r="N81" s="197"/>
      <x:c r="O81" s="197"/>
      <x:c r="P81" s="198" t="n">
        <x:f>L81+M81+N81+O81</x:f>
        <x:v>0</x:v>
      </x:c>
      <x:c r="Q81" s="198" t="n">
        <x:f>SUMIFS('Attività &amp; Tempi'!$N:$N,'Attività &amp; Tempi'!$A:$A,A81,'Attività &amp; Tempi'!$E:$E,"Fabio")</x:f>
        <x:v>0</x:v>
      </x:c>
      <x:c r="R81" s="198" t="n">
        <x:f>SUMIFS('Attività &amp; Tempi'!$N:$N,'Attività &amp; Tempi'!$A:$A,A81,'Attività &amp; Tempi'!$E:$E,"Frego")</x:f>
        <x:v>0</x:v>
      </x:c>
      <x:c r="S81" s="198" t="n">
        <x:f>SUMIFS('Attività &amp; Tempi'!$N:$N,'Attività &amp; Tempi'!$A:$A,A81,'Attività &amp; Tempi'!$E:$E,"Jessica")</x:f>
        <x:v>0</x:v>
      </x:c>
      <x:c r="T81" s="198" t="n">
        <x:f>Q81*Impostazioni!$B$4+R81*Impostazioni!$B$5+S81*Impostazioni!$B$6</x:f>
        <x:v>0</x:v>
      </x:c>
      <x:c r="U81" s="197"/>
      <x:c r="V81" s="198" t="n">
        <x:f>IF(1-U81=0,"",ROUND((P81+T81)/(1-U81),0))</x:f>
        <x:v>0</x:v>
      </x:c>
      <x:c r="W81" s="198" t="n">
        <x:f>K81-P81</x:f>
        <x:v>0</x:v>
      </x:c>
      <x:c r="X81" s="198" t="n">
        <x:f>IF(K81=0,0,W81/K81)</x:f>
        <x:v>0</x:v>
      </x:c>
      <x:c r="Y81" s="198" t="str">
        <x:f>IF(K81&lt;V81,IF(OR(C81="Strategico / caso studio",C81="Partnership"),"Strategico ma sottoprezzato","Cliente sottoprezzato"),IF(X81&lt;0.3,"Cliente da rinegoziare",IF((Q81+R81+S81)&gt;80,"Cliente troppo pesante","Cliente sano")))</x:f>
        <x:v>Cliente da rinegoziare</x:v>
      </x:c>
      <x:c r="Z81" s="198" t="n">
        <x:f>MAX(W81,0)/2</x:f>
        <x:v>0</x:v>
      </x:c>
      <x:c r="AA81" s="198" t="n">
        <x:f>MAX(W81,0)/2</x:f>
        <x:v>0</x:v>
      </x:c>
      <x:c r="AB81" s="198" t="n">
        <x:f>Z81*Impostazioni!$B$7*Impostazioni!$B$8</x:f>
        <x:v>0</x:v>
      </x:c>
      <x:c r="AC81" s="198" t="n">
        <x:f>MAX(Z81*Impostazioni!$B$7-AB81,0)*Impostazioni!$B$9</x:f>
        <x:v>0</x:v>
      </x:c>
      <x:c r="AD81" s="198" t="n">
        <x:f>Z81-AB81-AC81</x:f>
        <x:v>0</x:v>
      </x:c>
      <x:c r="AE81" s="198" t="n">
        <x:f>IF(Q81=0,0,AD81/Q81)</x:f>
        <x:v>0</x:v>
      </x:c>
      <x:c r="AF81" s="198" t="n">
        <x:f>AA81-(AA81*Impostazioni!$B$7*Impostazioni!$B$8)-MAX(AA81*Impostazioni!$B$7-(AA81*Impostazioni!$B$7*Impostazioni!$B$8),0)*Impostazioni!$B$9</x:f>
        <x:v>0</x:v>
      </x:c>
      <x:c r="AG81" s="198" t="n">
        <x:f>IF(R81=0,0,AF81/R81)</x:f>
        <x:v>0</x:v>
      </x:c>
    </x:row>
    <x:row r="82">
      <x:c r="A82" s="197"/>
      <x:c r="B82" s="197"/>
      <x:c r="C82" s="197"/>
      <x:c r="D82" s="197"/>
      <x:c r="E82" s="197"/>
      <x:c r="F82" s="197"/>
      <x:c r="G82" s="197"/>
      <x:c r="H82" s="197"/>
      <x:c r="I82" s="197"/>
      <x:c r="J82" s="197"/>
      <x:c r="K82" s="198" t="n">
        <x:f>F82+H82+I82+J82</x:f>
        <x:v>0</x:v>
      </x:c>
      <x:c r="L82" s="198" t="n">
        <x:f>SUMIFS('Costi &amp; Tool'!$G:$G,'Costi &amp; Tool'!$C:$C,A82,'Costi &amp; Tool'!$H:$H,"Sì")</x:f>
        <x:v>0</x:v>
      </x:c>
      <x:c r="M82" s="197"/>
      <x:c r="N82" s="197"/>
      <x:c r="O82" s="197"/>
      <x:c r="P82" s="198" t="n">
        <x:f>L82+M82+N82+O82</x:f>
        <x:v>0</x:v>
      </x:c>
      <x:c r="Q82" s="198" t="n">
        <x:f>SUMIFS('Attività &amp; Tempi'!$N:$N,'Attività &amp; Tempi'!$A:$A,A82,'Attività &amp; Tempi'!$E:$E,"Fabio")</x:f>
        <x:v>0</x:v>
      </x:c>
      <x:c r="R82" s="198" t="n">
        <x:f>SUMIFS('Attività &amp; Tempi'!$N:$N,'Attività &amp; Tempi'!$A:$A,A82,'Attività &amp; Tempi'!$E:$E,"Frego")</x:f>
        <x:v>0</x:v>
      </x:c>
      <x:c r="S82" s="198" t="n">
        <x:f>SUMIFS('Attività &amp; Tempi'!$N:$N,'Attività &amp; Tempi'!$A:$A,A82,'Attività &amp; Tempi'!$E:$E,"Jessica")</x:f>
        <x:v>0</x:v>
      </x:c>
      <x:c r="T82" s="198" t="n">
        <x:f>Q82*Impostazioni!$B$4+R82*Impostazioni!$B$5+S82*Impostazioni!$B$6</x:f>
        <x:v>0</x:v>
      </x:c>
      <x:c r="U82" s="197"/>
      <x:c r="V82" s="198" t="n">
        <x:f>IF(1-U82=0,"",ROUND((P82+T82)/(1-U82),0))</x:f>
        <x:v>0</x:v>
      </x:c>
      <x:c r="W82" s="198" t="n">
        <x:f>K82-P82</x:f>
        <x:v>0</x:v>
      </x:c>
      <x:c r="X82" s="198" t="n">
        <x:f>IF(K82=0,0,W82/K82)</x:f>
        <x:v>0</x:v>
      </x:c>
      <x:c r="Y82" s="198" t="str">
        <x:f>IF(K82&lt;V82,IF(OR(C82="Strategico / caso studio",C82="Partnership"),"Strategico ma sottoprezzato","Cliente sottoprezzato"),IF(X82&lt;0.3,"Cliente da rinegoziare",IF((Q82+R82+S82)&gt;80,"Cliente troppo pesante","Cliente sano")))</x:f>
        <x:v>Cliente da rinegoziare</x:v>
      </x:c>
      <x:c r="Z82" s="198" t="n">
        <x:f>MAX(W82,0)/2</x:f>
        <x:v>0</x:v>
      </x:c>
      <x:c r="AA82" s="198" t="n">
        <x:f>MAX(W82,0)/2</x:f>
        <x:v>0</x:v>
      </x:c>
      <x:c r="AB82" s="198" t="n">
        <x:f>Z82*Impostazioni!$B$7*Impostazioni!$B$8</x:f>
        <x:v>0</x:v>
      </x:c>
      <x:c r="AC82" s="198" t="n">
        <x:f>MAX(Z82*Impostazioni!$B$7-AB82,0)*Impostazioni!$B$9</x:f>
        <x:v>0</x:v>
      </x:c>
      <x:c r="AD82" s="198" t="n">
        <x:f>Z82-AB82-AC82</x:f>
        <x:v>0</x:v>
      </x:c>
      <x:c r="AE82" s="198" t="n">
        <x:f>IF(Q82=0,0,AD82/Q82)</x:f>
        <x:v>0</x:v>
      </x:c>
      <x:c r="AF82" s="198" t="n">
        <x:f>AA82-(AA82*Impostazioni!$B$7*Impostazioni!$B$8)-MAX(AA82*Impostazioni!$B$7-(AA82*Impostazioni!$B$7*Impostazioni!$B$8),0)*Impostazioni!$B$9</x:f>
        <x:v>0</x:v>
      </x:c>
      <x:c r="AG82" s="198" t="n">
        <x:f>IF(R82=0,0,AF82/R82)</x:f>
        <x:v>0</x:v>
      </x:c>
    </x:row>
    <x:row r="83">
      <x:c r="A83" s="197"/>
      <x:c r="B83" s="197"/>
      <x:c r="C83" s="197"/>
      <x:c r="D83" s="197"/>
      <x:c r="E83" s="197"/>
      <x:c r="F83" s="197"/>
      <x:c r="G83" s="197"/>
      <x:c r="H83" s="197"/>
      <x:c r="I83" s="197"/>
      <x:c r="J83" s="197"/>
      <x:c r="K83" s="198" t="n">
        <x:f>F83+H83+I83+J83</x:f>
        <x:v>0</x:v>
      </x:c>
      <x:c r="L83" s="198" t="n">
        <x:f>SUMIFS('Costi &amp; Tool'!$G:$G,'Costi &amp; Tool'!$C:$C,A83,'Costi &amp; Tool'!$H:$H,"Sì")</x:f>
        <x:v>0</x:v>
      </x:c>
      <x:c r="M83" s="197"/>
      <x:c r="N83" s="197"/>
      <x:c r="O83" s="197"/>
      <x:c r="P83" s="198" t="n">
        <x:f>L83+M83+N83+O83</x:f>
        <x:v>0</x:v>
      </x:c>
      <x:c r="Q83" s="198" t="n">
        <x:f>SUMIFS('Attività &amp; Tempi'!$N:$N,'Attività &amp; Tempi'!$A:$A,A83,'Attività &amp; Tempi'!$E:$E,"Fabio")</x:f>
        <x:v>0</x:v>
      </x:c>
      <x:c r="R83" s="198" t="n">
        <x:f>SUMIFS('Attività &amp; Tempi'!$N:$N,'Attività &amp; Tempi'!$A:$A,A83,'Attività &amp; Tempi'!$E:$E,"Frego")</x:f>
        <x:v>0</x:v>
      </x:c>
      <x:c r="S83" s="198" t="n">
        <x:f>SUMIFS('Attività &amp; Tempi'!$N:$N,'Attività &amp; Tempi'!$A:$A,A83,'Attività &amp; Tempi'!$E:$E,"Jessica")</x:f>
        <x:v>0</x:v>
      </x:c>
      <x:c r="T83" s="198" t="n">
        <x:f>Q83*Impostazioni!$B$4+R83*Impostazioni!$B$5+S83*Impostazioni!$B$6</x:f>
        <x:v>0</x:v>
      </x:c>
      <x:c r="U83" s="197"/>
      <x:c r="V83" s="198" t="n">
        <x:f>IF(1-U83=0,"",ROUND((P83+T83)/(1-U83),0))</x:f>
        <x:v>0</x:v>
      </x:c>
      <x:c r="W83" s="198" t="n">
        <x:f>K83-P83</x:f>
        <x:v>0</x:v>
      </x:c>
      <x:c r="X83" s="198" t="n">
        <x:f>IF(K83=0,0,W83/K83)</x:f>
        <x:v>0</x:v>
      </x:c>
      <x:c r="Y83" s="198" t="str">
        <x:f>IF(K83&lt;V83,IF(OR(C83="Strategico / caso studio",C83="Partnership"),"Strategico ma sottoprezzato","Cliente sottoprezzato"),IF(X83&lt;0.3,"Cliente da rinegoziare",IF((Q83+R83+S83)&gt;80,"Cliente troppo pesante","Cliente sano")))</x:f>
        <x:v>Cliente da rinegoziare</x:v>
      </x:c>
      <x:c r="Z83" s="198" t="n">
        <x:f>MAX(W83,0)/2</x:f>
        <x:v>0</x:v>
      </x:c>
      <x:c r="AA83" s="198" t="n">
        <x:f>MAX(W83,0)/2</x:f>
        <x:v>0</x:v>
      </x:c>
      <x:c r="AB83" s="198" t="n">
        <x:f>Z83*Impostazioni!$B$7*Impostazioni!$B$8</x:f>
        <x:v>0</x:v>
      </x:c>
      <x:c r="AC83" s="198" t="n">
        <x:f>MAX(Z83*Impostazioni!$B$7-AB83,0)*Impostazioni!$B$9</x:f>
        <x:v>0</x:v>
      </x:c>
      <x:c r="AD83" s="198" t="n">
        <x:f>Z83-AB83-AC83</x:f>
        <x:v>0</x:v>
      </x:c>
      <x:c r="AE83" s="198" t="n">
        <x:f>IF(Q83=0,0,AD83/Q83)</x:f>
        <x:v>0</x:v>
      </x:c>
      <x:c r="AF83" s="198" t="n">
        <x:f>AA83-(AA83*Impostazioni!$B$7*Impostazioni!$B$8)-MAX(AA83*Impostazioni!$B$7-(AA83*Impostazioni!$B$7*Impostazioni!$B$8),0)*Impostazioni!$B$9</x:f>
        <x:v>0</x:v>
      </x:c>
      <x:c r="AG83" s="198" t="n">
        <x:f>IF(R83=0,0,AF83/R83)</x:f>
        <x:v>0</x:v>
      </x:c>
    </x:row>
    <x:row r="84">
      <x:c r="A84" s="197"/>
      <x:c r="B84" s="197"/>
      <x:c r="C84" s="197"/>
      <x:c r="D84" s="197"/>
      <x:c r="E84" s="197"/>
      <x:c r="F84" s="197"/>
      <x:c r="G84" s="197"/>
      <x:c r="H84" s="197"/>
      <x:c r="I84" s="197"/>
      <x:c r="J84" s="197"/>
      <x:c r="K84" s="198" t="n">
        <x:f>F84+H84+I84+J84</x:f>
        <x:v>0</x:v>
      </x:c>
      <x:c r="L84" s="198" t="n">
        <x:f>SUMIFS('Costi &amp; Tool'!$G:$G,'Costi &amp; Tool'!$C:$C,A84,'Costi &amp; Tool'!$H:$H,"Sì")</x:f>
        <x:v>0</x:v>
      </x:c>
      <x:c r="M84" s="197"/>
      <x:c r="N84" s="197"/>
      <x:c r="O84" s="197"/>
      <x:c r="P84" s="198" t="n">
        <x:f>L84+M84+N84+O84</x:f>
        <x:v>0</x:v>
      </x:c>
      <x:c r="Q84" s="198" t="n">
        <x:f>SUMIFS('Attività &amp; Tempi'!$N:$N,'Attività &amp; Tempi'!$A:$A,A84,'Attività &amp; Tempi'!$E:$E,"Fabio")</x:f>
        <x:v>0</x:v>
      </x:c>
      <x:c r="R84" s="198" t="n">
        <x:f>SUMIFS('Attività &amp; Tempi'!$N:$N,'Attività &amp; Tempi'!$A:$A,A84,'Attività &amp; Tempi'!$E:$E,"Frego")</x:f>
        <x:v>0</x:v>
      </x:c>
      <x:c r="S84" s="198" t="n">
        <x:f>SUMIFS('Attività &amp; Tempi'!$N:$N,'Attività &amp; Tempi'!$A:$A,A84,'Attività &amp; Tempi'!$E:$E,"Jessica")</x:f>
        <x:v>0</x:v>
      </x:c>
      <x:c r="T84" s="198" t="n">
        <x:f>Q84*Impostazioni!$B$4+R84*Impostazioni!$B$5+S84*Impostazioni!$B$6</x:f>
        <x:v>0</x:v>
      </x:c>
      <x:c r="U84" s="197"/>
      <x:c r="V84" s="198" t="n">
        <x:f>IF(1-U84=0,"",ROUND((P84+T84)/(1-U84),0))</x:f>
        <x:v>0</x:v>
      </x:c>
      <x:c r="W84" s="198" t="n">
        <x:f>K84-P84</x:f>
        <x:v>0</x:v>
      </x:c>
      <x:c r="X84" s="198" t="n">
        <x:f>IF(K84=0,0,W84/K84)</x:f>
        <x:v>0</x:v>
      </x:c>
      <x:c r="Y84" s="198" t="str">
        <x:f>IF(K84&lt;V84,IF(OR(C84="Strategico / caso studio",C84="Partnership"),"Strategico ma sottoprezzato","Cliente sottoprezzato"),IF(X84&lt;0.3,"Cliente da rinegoziare",IF((Q84+R84+S84)&gt;80,"Cliente troppo pesante","Cliente sano")))</x:f>
        <x:v>Cliente da rinegoziare</x:v>
      </x:c>
      <x:c r="Z84" s="198" t="n">
        <x:f>MAX(W84,0)/2</x:f>
        <x:v>0</x:v>
      </x:c>
      <x:c r="AA84" s="198" t="n">
        <x:f>MAX(W84,0)/2</x:f>
        <x:v>0</x:v>
      </x:c>
      <x:c r="AB84" s="198" t="n">
        <x:f>Z84*Impostazioni!$B$7*Impostazioni!$B$8</x:f>
        <x:v>0</x:v>
      </x:c>
      <x:c r="AC84" s="198" t="n">
        <x:f>MAX(Z84*Impostazioni!$B$7-AB84,0)*Impostazioni!$B$9</x:f>
        <x:v>0</x:v>
      </x:c>
      <x:c r="AD84" s="198" t="n">
        <x:f>Z84-AB84-AC84</x:f>
        <x:v>0</x:v>
      </x:c>
      <x:c r="AE84" s="198" t="n">
        <x:f>IF(Q84=0,0,AD84/Q84)</x:f>
        <x:v>0</x:v>
      </x:c>
      <x:c r="AF84" s="198" t="n">
        <x:f>AA84-(AA84*Impostazioni!$B$7*Impostazioni!$B$8)-MAX(AA84*Impostazioni!$B$7-(AA84*Impostazioni!$B$7*Impostazioni!$B$8),0)*Impostazioni!$B$9</x:f>
        <x:v>0</x:v>
      </x:c>
      <x:c r="AG84" s="198" t="n">
        <x:f>IF(R84=0,0,AF84/R84)</x:f>
        <x:v>0</x:v>
      </x:c>
    </x:row>
    <x:row r="85">
      <x:c r="A85" s="197"/>
      <x:c r="B85" s="197"/>
      <x:c r="C85" s="197"/>
      <x:c r="D85" s="197"/>
      <x:c r="E85" s="197"/>
      <x:c r="F85" s="197"/>
      <x:c r="G85" s="197"/>
      <x:c r="H85" s="197"/>
      <x:c r="I85" s="197"/>
      <x:c r="J85" s="197"/>
      <x:c r="K85" s="198" t="n">
        <x:f>F85+H85+I85+J85</x:f>
        <x:v>0</x:v>
      </x:c>
      <x:c r="L85" s="198" t="n">
        <x:f>SUMIFS('Costi &amp; Tool'!$G:$G,'Costi &amp; Tool'!$C:$C,A85,'Costi &amp; Tool'!$H:$H,"Sì")</x:f>
        <x:v>0</x:v>
      </x:c>
      <x:c r="M85" s="197"/>
      <x:c r="N85" s="197"/>
      <x:c r="O85" s="197"/>
      <x:c r="P85" s="198" t="n">
        <x:f>L85+M85+N85+O85</x:f>
        <x:v>0</x:v>
      </x:c>
      <x:c r="Q85" s="198" t="n">
        <x:f>SUMIFS('Attività &amp; Tempi'!$N:$N,'Attività &amp; Tempi'!$A:$A,A85,'Attività &amp; Tempi'!$E:$E,"Fabio")</x:f>
        <x:v>0</x:v>
      </x:c>
      <x:c r="R85" s="198" t="n">
        <x:f>SUMIFS('Attività &amp; Tempi'!$N:$N,'Attività &amp; Tempi'!$A:$A,A85,'Attività &amp; Tempi'!$E:$E,"Frego")</x:f>
        <x:v>0</x:v>
      </x:c>
      <x:c r="S85" s="198" t="n">
        <x:f>SUMIFS('Attività &amp; Tempi'!$N:$N,'Attività &amp; Tempi'!$A:$A,A85,'Attività &amp; Tempi'!$E:$E,"Jessica")</x:f>
        <x:v>0</x:v>
      </x:c>
      <x:c r="T85" s="198" t="n">
        <x:f>Q85*Impostazioni!$B$4+R85*Impostazioni!$B$5+S85*Impostazioni!$B$6</x:f>
        <x:v>0</x:v>
      </x:c>
      <x:c r="U85" s="197"/>
      <x:c r="V85" s="198" t="n">
        <x:f>IF(1-U85=0,"",ROUND((P85+T85)/(1-U85),0))</x:f>
        <x:v>0</x:v>
      </x:c>
      <x:c r="W85" s="198" t="n">
        <x:f>K85-P85</x:f>
        <x:v>0</x:v>
      </x:c>
      <x:c r="X85" s="198" t="n">
        <x:f>IF(K85=0,0,W85/K85)</x:f>
        <x:v>0</x:v>
      </x:c>
      <x:c r="Y85" s="198" t="str">
        <x:f>IF(K85&lt;V85,IF(OR(C85="Strategico / caso studio",C85="Partnership"),"Strategico ma sottoprezzato","Cliente sottoprezzato"),IF(X85&lt;0.3,"Cliente da rinegoziare",IF((Q85+R85+S85)&gt;80,"Cliente troppo pesante","Cliente sano")))</x:f>
        <x:v>Cliente da rinegoziare</x:v>
      </x:c>
      <x:c r="Z85" s="198" t="n">
        <x:f>MAX(W85,0)/2</x:f>
        <x:v>0</x:v>
      </x:c>
      <x:c r="AA85" s="198" t="n">
        <x:f>MAX(W85,0)/2</x:f>
        <x:v>0</x:v>
      </x:c>
      <x:c r="AB85" s="198" t="n">
        <x:f>Z85*Impostazioni!$B$7*Impostazioni!$B$8</x:f>
        <x:v>0</x:v>
      </x:c>
      <x:c r="AC85" s="198" t="n">
        <x:f>MAX(Z85*Impostazioni!$B$7-AB85,0)*Impostazioni!$B$9</x:f>
        <x:v>0</x:v>
      </x:c>
      <x:c r="AD85" s="198" t="n">
        <x:f>Z85-AB85-AC85</x:f>
        <x:v>0</x:v>
      </x:c>
      <x:c r="AE85" s="198" t="n">
        <x:f>IF(Q85=0,0,AD85/Q85)</x:f>
        <x:v>0</x:v>
      </x:c>
      <x:c r="AF85" s="198" t="n">
        <x:f>AA85-(AA85*Impostazioni!$B$7*Impostazioni!$B$8)-MAX(AA85*Impostazioni!$B$7-(AA85*Impostazioni!$B$7*Impostazioni!$B$8),0)*Impostazioni!$B$9</x:f>
        <x:v>0</x:v>
      </x:c>
      <x:c r="AG85" s="198" t="n">
        <x:f>IF(R85=0,0,AF85/R85)</x:f>
        <x:v>0</x:v>
      </x:c>
    </x:row>
    <x:row r="86">
      <x:c r="A86" s="197"/>
      <x:c r="B86" s="197"/>
      <x:c r="C86" s="197"/>
      <x:c r="D86" s="197"/>
      <x:c r="E86" s="197"/>
      <x:c r="F86" s="197"/>
      <x:c r="G86" s="197"/>
      <x:c r="H86" s="197"/>
      <x:c r="I86" s="197"/>
      <x:c r="J86" s="197"/>
      <x:c r="K86" s="198" t="n">
        <x:f>F86+H86+I86+J86</x:f>
        <x:v>0</x:v>
      </x:c>
      <x:c r="L86" s="198" t="n">
        <x:f>SUMIFS('Costi &amp; Tool'!$G:$G,'Costi &amp; Tool'!$C:$C,A86,'Costi &amp; Tool'!$H:$H,"Sì")</x:f>
        <x:v>0</x:v>
      </x:c>
      <x:c r="M86" s="197"/>
      <x:c r="N86" s="197"/>
      <x:c r="O86" s="197"/>
      <x:c r="P86" s="198" t="n">
        <x:f>L86+M86+N86+O86</x:f>
        <x:v>0</x:v>
      </x:c>
      <x:c r="Q86" s="198" t="n">
        <x:f>SUMIFS('Attività &amp; Tempi'!$N:$N,'Attività &amp; Tempi'!$A:$A,A86,'Attività &amp; Tempi'!$E:$E,"Fabio")</x:f>
        <x:v>0</x:v>
      </x:c>
      <x:c r="R86" s="198" t="n">
        <x:f>SUMIFS('Attività &amp; Tempi'!$N:$N,'Attività &amp; Tempi'!$A:$A,A86,'Attività &amp; Tempi'!$E:$E,"Frego")</x:f>
        <x:v>0</x:v>
      </x:c>
      <x:c r="S86" s="198" t="n">
        <x:f>SUMIFS('Attività &amp; Tempi'!$N:$N,'Attività &amp; Tempi'!$A:$A,A86,'Attività &amp; Tempi'!$E:$E,"Jessica")</x:f>
        <x:v>0</x:v>
      </x:c>
      <x:c r="T86" s="198" t="n">
        <x:f>Q86*Impostazioni!$B$4+R86*Impostazioni!$B$5+S86*Impostazioni!$B$6</x:f>
        <x:v>0</x:v>
      </x:c>
      <x:c r="U86" s="197"/>
      <x:c r="V86" s="198" t="n">
        <x:f>IF(1-U86=0,"",ROUND((P86+T86)/(1-U86),0))</x:f>
        <x:v>0</x:v>
      </x:c>
      <x:c r="W86" s="198" t="n">
        <x:f>K86-P86</x:f>
        <x:v>0</x:v>
      </x:c>
      <x:c r="X86" s="198" t="n">
        <x:f>IF(K86=0,0,W86/K86)</x:f>
        <x:v>0</x:v>
      </x:c>
      <x:c r="Y86" s="198" t="str">
        <x:f>IF(K86&lt;V86,IF(OR(C86="Strategico / caso studio",C86="Partnership"),"Strategico ma sottoprezzato","Cliente sottoprezzato"),IF(X86&lt;0.3,"Cliente da rinegoziare",IF((Q86+R86+S86)&gt;80,"Cliente troppo pesante","Cliente sano")))</x:f>
        <x:v>Cliente da rinegoziare</x:v>
      </x:c>
      <x:c r="Z86" s="198" t="n">
        <x:f>MAX(W86,0)/2</x:f>
        <x:v>0</x:v>
      </x:c>
      <x:c r="AA86" s="198" t="n">
        <x:f>MAX(W86,0)/2</x:f>
        <x:v>0</x:v>
      </x:c>
      <x:c r="AB86" s="198" t="n">
        <x:f>Z86*Impostazioni!$B$7*Impostazioni!$B$8</x:f>
        <x:v>0</x:v>
      </x:c>
      <x:c r="AC86" s="198" t="n">
        <x:f>MAX(Z86*Impostazioni!$B$7-AB86,0)*Impostazioni!$B$9</x:f>
        <x:v>0</x:v>
      </x:c>
      <x:c r="AD86" s="198" t="n">
        <x:f>Z86-AB86-AC86</x:f>
        <x:v>0</x:v>
      </x:c>
      <x:c r="AE86" s="198" t="n">
        <x:f>IF(Q86=0,0,AD86/Q86)</x:f>
        <x:v>0</x:v>
      </x:c>
      <x:c r="AF86" s="198" t="n">
        <x:f>AA86-(AA86*Impostazioni!$B$7*Impostazioni!$B$8)-MAX(AA86*Impostazioni!$B$7-(AA86*Impostazioni!$B$7*Impostazioni!$B$8),0)*Impostazioni!$B$9</x:f>
        <x:v>0</x:v>
      </x:c>
      <x:c r="AG86" s="198" t="n">
        <x:f>IF(R86=0,0,AF86/R86)</x:f>
        <x:v>0</x:v>
      </x:c>
    </x:row>
    <x:row r="87">
      <x:c r="A87" s="197"/>
      <x:c r="B87" s="197"/>
      <x:c r="C87" s="197"/>
      <x:c r="D87" s="197"/>
      <x:c r="E87" s="197"/>
      <x:c r="F87" s="197"/>
      <x:c r="G87" s="197"/>
      <x:c r="H87" s="197"/>
      <x:c r="I87" s="197"/>
      <x:c r="J87" s="197"/>
      <x:c r="K87" s="198" t="n">
        <x:f>F87+H87+I87+J87</x:f>
        <x:v>0</x:v>
      </x:c>
      <x:c r="L87" s="198" t="n">
        <x:f>SUMIFS('Costi &amp; Tool'!$G:$G,'Costi &amp; Tool'!$C:$C,A87,'Costi &amp; Tool'!$H:$H,"Sì")</x:f>
        <x:v>0</x:v>
      </x:c>
      <x:c r="M87" s="197"/>
      <x:c r="N87" s="197"/>
      <x:c r="O87" s="197"/>
      <x:c r="P87" s="198" t="n">
        <x:f>L87+M87+N87+O87</x:f>
        <x:v>0</x:v>
      </x:c>
      <x:c r="Q87" s="198" t="n">
        <x:f>SUMIFS('Attività &amp; Tempi'!$N:$N,'Attività &amp; Tempi'!$A:$A,A87,'Attività &amp; Tempi'!$E:$E,"Fabio")</x:f>
        <x:v>0</x:v>
      </x:c>
      <x:c r="R87" s="198" t="n">
        <x:f>SUMIFS('Attività &amp; Tempi'!$N:$N,'Attività &amp; Tempi'!$A:$A,A87,'Attività &amp; Tempi'!$E:$E,"Frego")</x:f>
        <x:v>0</x:v>
      </x:c>
      <x:c r="S87" s="198" t="n">
        <x:f>SUMIFS('Attività &amp; Tempi'!$N:$N,'Attività &amp; Tempi'!$A:$A,A87,'Attività &amp; Tempi'!$E:$E,"Jessica")</x:f>
        <x:v>0</x:v>
      </x:c>
      <x:c r="T87" s="198" t="n">
        <x:f>Q87*Impostazioni!$B$4+R87*Impostazioni!$B$5+S87*Impostazioni!$B$6</x:f>
        <x:v>0</x:v>
      </x:c>
      <x:c r="U87" s="197"/>
      <x:c r="V87" s="198" t="n">
        <x:f>IF(1-U87=0,"",ROUND((P87+T87)/(1-U87),0))</x:f>
        <x:v>0</x:v>
      </x:c>
      <x:c r="W87" s="198" t="n">
        <x:f>K87-P87</x:f>
        <x:v>0</x:v>
      </x:c>
      <x:c r="X87" s="198" t="n">
        <x:f>IF(K87=0,0,W87/K87)</x:f>
        <x:v>0</x:v>
      </x:c>
      <x:c r="Y87" s="198" t="str">
        <x:f>IF(K87&lt;V87,IF(OR(C87="Strategico / caso studio",C87="Partnership"),"Strategico ma sottoprezzato","Cliente sottoprezzato"),IF(X87&lt;0.3,"Cliente da rinegoziare",IF((Q87+R87+S87)&gt;80,"Cliente troppo pesante","Cliente sano")))</x:f>
        <x:v>Cliente da rinegoziare</x:v>
      </x:c>
      <x:c r="Z87" s="198" t="n">
        <x:f>MAX(W87,0)/2</x:f>
        <x:v>0</x:v>
      </x:c>
      <x:c r="AA87" s="198" t="n">
        <x:f>MAX(W87,0)/2</x:f>
        <x:v>0</x:v>
      </x:c>
      <x:c r="AB87" s="198" t="n">
        <x:f>Z87*Impostazioni!$B$7*Impostazioni!$B$8</x:f>
        <x:v>0</x:v>
      </x:c>
      <x:c r="AC87" s="198" t="n">
        <x:f>MAX(Z87*Impostazioni!$B$7-AB87,0)*Impostazioni!$B$9</x:f>
        <x:v>0</x:v>
      </x:c>
      <x:c r="AD87" s="198" t="n">
        <x:f>Z87-AB87-AC87</x:f>
        <x:v>0</x:v>
      </x:c>
      <x:c r="AE87" s="198" t="n">
        <x:f>IF(Q87=0,0,AD87/Q87)</x:f>
        <x:v>0</x:v>
      </x:c>
      <x:c r="AF87" s="198" t="n">
        <x:f>AA87-(AA87*Impostazioni!$B$7*Impostazioni!$B$8)-MAX(AA87*Impostazioni!$B$7-(AA87*Impostazioni!$B$7*Impostazioni!$B$8),0)*Impostazioni!$B$9</x:f>
        <x:v>0</x:v>
      </x:c>
      <x:c r="AG87" s="198" t="n">
        <x:f>IF(R87=0,0,AF87/R87)</x:f>
        <x:v>0</x:v>
      </x:c>
    </x:row>
    <x:row r="88">
      <x:c r="A88" s="197"/>
      <x:c r="B88" s="197"/>
      <x:c r="C88" s="197"/>
      <x:c r="D88" s="197"/>
      <x:c r="E88" s="197"/>
      <x:c r="F88" s="197"/>
      <x:c r="G88" s="197"/>
      <x:c r="H88" s="197"/>
      <x:c r="I88" s="197"/>
      <x:c r="J88" s="197"/>
      <x:c r="K88" s="198" t="n">
        <x:f>F88+H88+I88+J88</x:f>
        <x:v>0</x:v>
      </x:c>
      <x:c r="L88" s="198" t="n">
        <x:f>SUMIFS('Costi &amp; Tool'!$G:$G,'Costi &amp; Tool'!$C:$C,A88,'Costi &amp; Tool'!$H:$H,"Sì")</x:f>
        <x:v>0</x:v>
      </x:c>
      <x:c r="M88" s="197"/>
      <x:c r="N88" s="197"/>
      <x:c r="O88" s="197"/>
      <x:c r="P88" s="198" t="n">
        <x:f>L88+M88+N88+O88</x:f>
        <x:v>0</x:v>
      </x:c>
      <x:c r="Q88" s="198" t="n">
        <x:f>SUMIFS('Attività &amp; Tempi'!$N:$N,'Attività &amp; Tempi'!$A:$A,A88,'Attività &amp; Tempi'!$E:$E,"Fabio")</x:f>
        <x:v>0</x:v>
      </x:c>
      <x:c r="R88" s="198" t="n">
        <x:f>SUMIFS('Attività &amp; Tempi'!$N:$N,'Attività &amp; Tempi'!$A:$A,A88,'Attività &amp; Tempi'!$E:$E,"Frego")</x:f>
        <x:v>0</x:v>
      </x:c>
      <x:c r="S88" s="198" t="n">
        <x:f>SUMIFS('Attività &amp; Tempi'!$N:$N,'Attività &amp; Tempi'!$A:$A,A88,'Attività &amp; Tempi'!$E:$E,"Jessica")</x:f>
        <x:v>0</x:v>
      </x:c>
      <x:c r="T88" s="198" t="n">
        <x:f>Q88*Impostazioni!$B$4+R88*Impostazioni!$B$5+S88*Impostazioni!$B$6</x:f>
        <x:v>0</x:v>
      </x:c>
      <x:c r="U88" s="197"/>
      <x:c r="V88" s="198" t="n">
        <x:f>IF(1-U88=0,"",ROUND((P88+T88)/(1-U88),0))</x:f>
        <x:v>0</x:v>
      </x:c>
      <x:c r="W88" s="198" t="n">
        <x:f>K88-P88</x:f>
        <x:v>0</x:v>
      </x:c>
      <x:c r="X88" s="198" t="n">
        <x:f>IF(K88=0,0,W88/K88)</x:f>
        <x:v>0</x:v>
      </x:c>
      <x:c r="Y88" s="198" t="str">
        <x:f>IF(K88&lt;V88,IF(OR(C88="Strategico / caso studio",C88="Partnership"),"Strategico ma sottoprezzato","Cliente sottoprezzato"),IF(X88&lt;0.3,"Cliente da rinegoziare",IF((Q88+R88+S88)&gt;80,"Cliente troppo pesante","Cliente sano")))</x:f>
        <x:v>Cliente da rinegoziare</x:v>
      </x:c>
      <x:c r="Z88" s="198" t="n">
        <x:f>MAX(W88,0)/2</x:f>
        <x:v>0</x:v>
      </x:c>
      <x:c r="AA88" s="198" t="n">
        <x:f>MAX(W88,0)/2</x:f>
        <x:v>0</x:v>
      </x:c>
      <x:c r="AB88" s="198" t="n">
        <x:f>Z88*Impostazioni!$B$7*Impostazioni!$B$8</x:f>
        <x:v>0</x:v>
      </x:c>
      <x:c r="AC88" s="198" t="n">
        <x:f>MAX(Z88*Impostazioni!$B$7-AB88,0)*Impostazioni!$B$9</x:f>
        <x:v>0</x:v>
      </x:c>
      <x:c r="AD88" s="198" t="n">
        <x:f>Z88-AB88-AC88</x:f>
        <x:v>0</x:v>
      </x:c>
      <x:c r="AE88" s="198" t="n">
        <x:f>IF(Q88=0,0,AD88/Q88)</x:f>
        <x:v>0</x:v>
      </x:c>
      <x:c r="AF88" s="198" t="n">
        <x:f>AA88-(AA88*Impostazioni!$B$7*Impostazioni!$B$8)-MAX(AA88*Impostazioni!$B$7-(AA88*Impostazioni!$B$7*Impostazioni!$B$8),0)*Impostazioni!$B$9</x:f>
        <x:v>0</x:v>
      </x:c>
      <x:c r="AG88" s="198" t="n">
        <x:f>IF(R88=0,0,AF88/R88)</x:f>
        <x:v>0</x:v>
      </x:c>
    </x:row>
    <x:row r="89">
      <x:c r="A89" s="197"/>
      <x:c r="B89" s="197"/>
      <x:c r="C89" s="197"/>
      <x:c r="D89" s="197"/>
      <x:c r="E89" s="197"/>
      <x:c r="F89" s="197"/>
      <x:c r="G89" s="197"/>
      <x:c r="H89" s="197"/>
      <x:c r="I89" s="197"/>
      <x:c r="J89" s="197"/>
      <x:c r="K89" s="198" t="n">
        <x:f>F89+H89+I89+J89</x:f>
        <x:v>0</x:v>
      </x:c>
      <x:c r="L89" s="198" t="n">
        <x:f>SUMIFS('Costi &amp; Tool'!$G:$G,'Costi &amp; Tool'!$C:$C,A89,'Costi &amp; Tool'!$H:$H,"Sì")</x:f>
        <x:v>0</x:v>
      </x:c>
      <x:c r="M89" s="197"/>
      <x:c r="N89" s="197"/>
      <x:c r="O89" s="197"/>
      <x:c r="P89" s="198" t="n">
        <x:f>L89+M89+N89+O89</x:f>
        <x:v>0</x:v>
      </x:c>
      <x:c r="Q89" s="198" t="n">
        <x:f>SUMIFS('Attività &amp; Tempi'!$N:$N,'Attività &amp; Tempi'!$A:$A,A89,'Attività &amp; Tempi'!$E:$E,"Fabio")</x:f>
        <x:v>0</x:v>
      </x:c>
      <x:c r="R89" s="198" t="n">
        <x:f>SUMIFS('Attività &amp; Tempi'!$N:$N,'Attività &amp; Tempi'!$A:$A,A89,'Attività &amp; Tempi'!$E:$E,"Frego")</x:f>
        <x:v>0</x:v>
      </x:c>
      <x:c r="S89" s="198" t="n">
        <x:f>SUMIFS('Attività &amp; Tempi'!$N:$N,'Attività &amp; Tempi'!$A:$A,A89,'Attività &amp; Tempi'!$E:$E,"Jessica")</x:f>
        <x:v>0</x:v>
      </x:c>
      <x:c r="T89" s="198" t="n">
        <x:f>Q89*Impostazioni!$B$4+R89*Impostazioni!$B$5+S89*Impostazioni!$B$6</x:f>
        <x:v>0</x:v>
      </x:c>
      <x:c r="U89" s="197"/>
      <x:c r="V89" s="198" t="n">
        <x:f>IF(1-U89=0,"",ROUND((P89+T89)/(1-U89),0))</x:f>
        <x:v>0</x:v>
      </x:c>
      <x:c r="W89" s="198" t="n">
        <x:f>K89-P89</x:f>
        <x:v>0</x:v>
      </x:c>
      <x:c r="X89" s="198" t="n">
        <x:f>IF(K89=0,0,W89/K89)</x:f>
        <x:v>0</x:v>
      </x:c>
      <x:c r="Y89" s="198" t="str">
        <x:f>IF(K89&lt;V89,IF(OR(C89="Strategico / caso studio",C89="Partnership"),"Strategico ma sottoprezzato","Cliente sottoprezzato"),IF(X89&lt;0.3,"Cliente da rinegoziare",IF((Q89+R89+S89)&gt;80,"Cliente troppo pesante","Cliente sano")))</x:f>
        <x:v>Cliente da rinegoziare</x:v>
      </x:c>
      <x:c r="Z89" s="198" t="n">
        <x:f>MAX(W89,0)/2</x:f>
        <x:v>0</x:v>
      </x:c>
      <x:c r="AA89" s="198" t="n">
        <x:f>MAX(W89,0)/2</x:f>
        <x:v>0</x:v>
      </x:c>
      <x:c r="AB89" s="198" t="n">
        <x:f>Z89*Impostazioni!$B$7*Impostazioni!$B$8</x:f>
        <x:v>0</x:v>
      </x:c>
      <x:c r="AC89" s="198" t="n">
        <x:f>MAX(Z89*Impostazioni!$B$7-AB89,0)*Impostazioni!$B$9</x:f>
        <x:v>0</x:v>
      </x:c>
      <x:c r="AD89" s="198" t="n">
        <x:f>Z89-AB89-AC89</x:f>
        <x:v>0</x:v>
      </x:c>
      <x:c r="AE89" s="198" t="n">
        <x:f>IF(Q89=0,0,AD89/Q89)</x:f>
        <x:v>0</x:v>
      </x:c>
      <x:c r="AF89" s="198" t="n">
        <x:f>AA89-(AA89*Impostazioni!$B$7*Impostazioni!$B$8)-MAX(AA89*Impostazioni!$B$7-(AA89*Impostazioni!$B$7*Impostazioni!$B$8),0)*Impostazioni!$B$9</x:f>
        <x:v>0</x:v>
      </x:c>
      <x:c r="AG89" s="198" t="n">
        <x:f>IF(R89=0,0,AF89/R89)</x:f>
        <x:v>0</x:v>
      </x:c>
    </x:row>
    <x:row r="90">
      <x:c r="A90" s="197"/>
      <x:c r="B90" s="197"/>
      <x:c r="C90" s="197"/>
      <x:c r="D90" s="197"/>
      <x:c r="E90" s="197"/>
      <x:c r="F90" s="197"/>
      <x:c r="G90" s="197"/>
      <x:c r="H90" s="197"/>
      <x:c r="I90" s="197"/>
      <x:c r="J90" s="197"/>
      <x:c r="K90" s="198" t="n">
        <x:f>F90+H90+I90+J90</x:f>
        <x:v>0</x:v>
      </x:c>
      <x:c r="L90" s="198" t="n">
        <x:f>SUMIFS('Costi &amp; Tool'!$G:$G,'Costi &amp; Tool'!$C:$C,A90,'Costi &amp; Tool'!$H:$H,"Sì")</x:f>
        <x:v>0</x:v>
      </x:c>
      <x:c r="M90" s="197"/>
      <x:c r="N90" s="197"/>
      <x:c r="O90" s="197"/>
      <x:c r="P90" s="198" t="n">
        <x:f>L90+M90+N90+O90</x:f>
        <x:v>0</x:v>
      </x:c>
      <x:c r="Q90" s="198" t="n">
        <x:f>SUMIFS('Attività &amp; Tempi'!$N:$N,'Attività &amp; Tempi'!$A:$A,A90,'Attività &amp; Tempi'!$E:$E,"Fabio")</x:f>
        <x:v>0</x:v>
      </x:c>
      <x:c r="R90" s="198" t="n">
        <x:f>SUMIFS('Attività &amp; Tempi'!$N:$N,'Attività &amp; Tempi'!$A:$A,A90,'Attività &amp; Tempi'!$E:$E,"Frego")</x:f>
        <x:v>0</x:v>
      </x:c>
      <x:c r="S90" s="198" t="n">
        <x:f>SUMIFS('Attività &amp; Tempi'!$N:$N,'Attività &amp; Tempi'!$A:$A,A90,'Attività &amp; Tempi'!$E:$E,"Jessica")</x:f>
        <x:v>0</x:v>
      </x:c>
      <x:c r="T90" s="198" t="n">
        <x:f>Q90*Impostazioni!$B$4+R90*Impostazioni!$B$5+S90*Impostazioni!$B$6</x:f>
        <x:v>0</x:v>
      </x:c>
      <x:c r="U90" s="197"/>
      <x:c r="V90" s="198" t="n">
        <x:f>IF(1-U90=0,"",ROUND((P90+T90)/(1-U90),0))</x:f>
        <x:v>0</x:v>
      </x:c>
      <x:c r="W90" s="198" t="n">
        <x:f>K90-P90</x:f>
        <x:v>0</x:v>
      </x:c>
      <x:c r="X90" s="198" t="n">
        <x:f>IF(K90=0,0,W90/K90)</x:f>
        <x:v>0</x:v>
      </x:c>
      <x:c r="Y90" s="198" t="str">
        <x:f>IF(K90&lt;V90,IF(OR(C90="Strategico / caso studio",C90="Partnership"),"Strategico ma sottoprezzato","Cliente sottoprezzato"),IF(X90&lt;0.3,"Cliente da rinegoziare",IF((Q90+R90+S90)&gt;80,"Cliente troppo pesante","Cliente sano")))</x:f>
        <x:v>Cliente da rinegoziare</x:v>
      </x:c>
      <x:c r="Z90" s="198" t="n">
        <x:f>MAX(W90,0)/2</x:f>
        <x:v>0</x:v>
      </x:c>
      <x:c r="AA90" s="198" t="n">
        <x:f>MAX(W90,0)/2</x:f>
        <x:v>0</x:v>
      </x:c>
      <x:c r="AB90" s="198" t="n">
        <x:f>Z90*Impostazioni!$B$7*Impostazioni!$B$8</x:f>
        <x:v>0</x:v>
      </x:c>
      <x:c r="AC90" s="198" t="n">
        <x:f>MAX(Z90*Impostazioni!$B$7-AB90,0)*Impostazioni!$B$9</x:f>
        <x:v>0</x:v>
      </x:c>
      <x:c r="AD90" s="198" t="n">
        <x:f>Z90-AB90-AC90</x:f>
        <x:v>0</x:v>
      </x:c>
      <x:c r="AE90" s="198" t="n">
        <x:f>IF(Q90=0,0,AD90/Q90)</x:f>
        <x:v>0</x:v>
      </x:c>
      <x:c r="AF90" s="198" t="n">
        <x:f>AA90-(AA90*Impostazioni!$B$7*Impostazioni!$B$8)-MAX(AA90*Impostazioni!$B$7-(AA90*Impostazioni!$B$7*Impostazioni!$B$8),0)*Impostazioni!$B$9</x:f>
        <x:v>0</x:v>
      </x:c>
      <x:c r="AG90" s="198" t="n">
        <x:f>IF(R90=0,0,AF90/R90)</x:f>
        <x:v>0</x:v>
      </x:c>
    </x:row>
    <x:row r="91">
      <x:c r="A91" s="197"/>
      <x:c r="B91" s="197"/>
      <x:c r="C91" s="197"/>
      <x:c r="D91" s="197"/>
      <x:c r="E91" s="197"/>
      <x:c r="F91" s="197"/>
      <x:c r="G91" s="197"/>
      <x:c r="H91" s="197"/>
      <x:c r="I91" s="197"/>
      <x:c r="J91" s="197"/>
      <x:c r="K91" s="198" t="n">
        <x:f>F91+H91+I91+J91</x:f>
        <x:v>0</x:v>
      </x:c>
      <x:c r="L91" s="198" t="n">
        <x:f>SUMIFS('Costi &amp; Tool'!$G:$G,'Costi &amp; Tool'!$C:$C,A91,'Costi &amp; Tool'!$H:$H,"Sì")</x:f>
        <x:v>0</x:v>
      </x:c>
      <x:c r="M91" s="197"/>
      <x:c r="N91" s="197"/>
      <x:c r="O91" s="197"/>
      <x:c r="P91" s="198" t="n">
        <x:f>L91+M91+N91+O91</x:f>
        <x:v>0</x:v>
      </x:c>
      <x:c r="Q91" s="198" t="n">
        <x:f>SUMIFS('Attività &amp; Tempi'!$N:$N,'Attività &amp; Tempi'!$A:$A,A91,'Attività &amp; Tempi'!$E:$E,"Fabio")</x:f>
        <x:v>0</x:v>
      </x:c>
      <x:c r="R91" s="198" t="n">
        <x:f>SUMIFS('Attività &amp; Tempi'!$N:$N,'Attività &amp; Tempi'!$A:$A,A91,'Attività &amp; Tempi'!$E:$E,"Frego")</x:f>
        <x:v>0</x:v>
      </x:c>
      <x:c r="S91" s="198" t="n">
        <x:f>SUMIFS('Attività &amp; Tempi'!$N:$N,'Attività &amp; Tempi'!$A:$A,A91,'Attività &amp; Tempi'!$E:$E,"Jessica")</x:f>
        <x:v>0</x:v>
      </x:c>
      <x:c r="T91" s="198" t="n">
        <x:f>Q91*Impostazioni!$B$4+R91*Impostazioni!$B$5+S91*Impostazioni!$B$6</x:f>
        <x:v>0</x:v>
      </x:c>
      <x:c r="U91" s="197"/>
      <x:c r="V91" s="198" t="n">
        <x:f>IF(1-U91=0,"",ROUND((P91+T91)/(1-U91),0))</x:f>
        <x:v>0</x:v>
      </x:c>
      <x:c r="W91" s="198" t="n">
        <x:f>K91-P91</x:f>
        <x:v>0</x:v>
      </x:c>
      <x:c r="X91" s="198" t="n">
        <x:f>IF(K91=0,0,W91/K91)</x:f>
        <x:v>0</x:v>
      </x:c>
      <x:c r="Y91" s="198" t="str">
        <x:f>IF(K91&lt;V91,IF(OR(C91="Strategico / caso studio",C91="Partnership"),"Strategico ma sottoprezzato","Cliente sottoprezzato"),IF(X91&lt;0.3,"Cliente da rinegoziare",IF((Q91+R91+S91)&gt;80,"Cliente troppo pesante","Cliente sano")))</x:f>
        <x:v>Cliente da rinegoziare</x:v>
      </x:c>
      <x:c r="Z91" s="198" t="n">
        <x:f>MAX(W91,0)/2</x:f>
        <x:v>0</x:v>
      </x:c>
      <x:c r="AA91" s="198" t="n">
        <x:f>MAX(W91,0)/2</x:f>
        <x:v>0</x:v>
      </x:c>
      <x:c r="AB91" s="198" t="n">
        <x:f>Z91*Impostazioni!$B$7*Impostazioni!$B$8</x:f>
        <x:v>0</x:v>
      </x:c>
      <x:c r="AC91" s="198" t="n">
        <x:f>MAX(Z91*Impostazioni!$B$7-AB91,0)*Impostazioni!$B$9</x:f>
        <x:v>0</x:v>
      </x:c>
      <x:c r="AD91" s="198" t="n">
        <x:f>Z91-AB91-AC91</x:f>
        <x:v>0</x:v>
      </x:c>
      <x:c r="AE91" s="198" t="n">
        <x:f>IF(Q91=0,0,AD91/Q91)</x:f>
        <x:v>0</x:v>
      </x:c>
      <x:c r="AF91" s="198" t="n">
        <x:f>AA91-(AA91*Impostazioni!$B$7*Impostazioni!$B$8)-MAX(AA91*Impostazioni!$B$7-(AA91*Impostazioni!$B$7*Impostazioni!$B$8),0)*Impostazioni!$B$9</x:f>
        <x:v>0</x:v>
      </x:c>
      <x:c r="AG91" s="198" t="n">
        <x:f>IF(R91=0,0,AF91/R91)</x:f>
        <x:v>0</x:v>
      </x:c>
    </x:row>
    <x:row r="92">
      <x:c r="A92" s="197"/>
      <x:c r="B92" s="197"/>
      <x:c r="C92" s="197"/>
      <x:c r="D92" s="197"/>
      <x:c r="E92" s="197"/>
      <x:c r="F92" s="197"/>
      <x:c r="G92" s="197"/>
      <x:c r="H92" s="197"/>
      <x:c r="I92" s="197"/>
      <x:c r="J92" s="197"/>
      <x:c r="K92" s="198" t="n">
        <x:f>F92+H92+I92+J92</x:f>
        <x:v>0</x:v>
      </x:c>
      <x:c r="L92" s="198" t="n">
        <x:f>SUMIFS('Costi &amp; Tool'!$G:$G,'Costi &amp; Tool'!$C:$C,A92,'Costi &amp; Tool'!$H:$H,"Sì")</x:f>
        <x:v>0</x:v>
      </x:c>
      <x:c r="M92" s="197"/>
      <x:c r="N92" s="197"/>
      <x:c r="O92" s="197"/>
      <x:c r="P92" s="198" t="n">
        <x:f>L92+M92+N92+O92</x:f>
        <x:v>0</x:v>
      </x:c>
      <x:c r="Q92" s="198" t="n">
        <x:f>SUMIFS('Attività &amp; Tempi'!$N:$N,'Attività &amp; Tempi'!$A:$A,A92,'Attività &amp; Tempi'!$E:$E,"Fabio")</x:f>
        <x:v>0</x:v>
      </x:c>
      <x:c r="R92" s="198" t="n">
        <x:f>SUMIFS('Attività &amp; Tempi'!$N:$N,'Attività &amp; Tempi'!$A:$A,A92,'Attività &amp; Tempi'!$E:$E,"Frego")</x:f>
        <x:v>0</x:v>
      </x:c>
      <x:c r="S92" s="198" t="n">
        <x:f>SUMIFS('Attività &amp; Tempi'!$N:$N,'Attività &amp; Tempi'!$A:$A,A92,'Attività &amp; Tempi'!$E:$E,"Jessica")</x:f>
        <x:v>0</x:v>
      </x:c>
      <x:c r="T92" s="198" t="n">
        <x:f>Q92*Impostazioni!$B$4+R92*Impostazioni!$B$5+S92*Impostazioni!$B$6</x:f>
        <x:v>0</x:v>
      </x:c>
      <x:c r="U92" s="197"/>
      <x:c r="V92" s="198" t="n">
        <x:f>IF(1-U92=0,"",ROUND((P92+T92)/(1-U92),0))</x:f>
        <x:v>0</x:v>
      </x:c>
      <x:c r="W92" s="198" t="n">
        <x:f>K92-P92</x:f>
        <x:v>0</x:v>
      </x:c>
      <x:c r="X92" s="198" t="n">
        <x:f>IF(K92=0,0,W92/K92)</x:f>
        <x:v>0</x:v>
      </x:c>
      <x:c r="Y92" s="198" t="str">
        <x:f>IF(K92&lt;V92,IF(OR(C92="Strategico / caso studio",C92="Partnership"),"Strategico ma sottoprezzato","Cliente sottoprezzato"),IF(X92&lt;0.3,"Cliente da rinegoziare",IF((Q92+R92+S92)&gt;80,"Cliente troppo pesante","Cliente sano")))</x:f>
        <x:v>Cliente da rinegoziare</x:v>
      </x:c>
      <x:c r="Z92" s="198" t="n">
        <x:f>MAX(W92,0)/2</x:f>
        <x:v>0</x:v>
      </x:c>
      <x:c r="AA92" s="198" t="n">
        <x:f>MAX(W92,0)/2</x:f>
        <x:v>0</x:v>
      </x:c>
      <x:c r="AB92" s="198" t="n">
        <x:f>Z92*Impostazioni!$B$7*Impostazioni!$B$8</x:f>
        <x:v>0</x:v>
      </x:c>
      <x:c r="AC92" s="198" t="n">
        <x:f>MAX(Z92*Impostazioni!$B$7-AB92,0)*Impostazioni!$B$9</x:f>
        <x:v>0</x:v>
      </x:c>
      <x:c r="AD92" s="198" t="n">
        <x:f>Z92-AB92-AC92</x:f>
        <x:v>0</x:v>
      </x:c>
      <x:c r="AE92" s="198" t="n">
        <x:f>IF(Q92=0,0,AD92/Q92)</x:f>
        <x:v>0</x:v>
      </x:c>
      <x:c r="AF92" s="198" t="n">
        <x:f>AA92-(AA92*Impostazioni!$B$7*Impostazioni!$B$8)-MAX(AA92*Impostazioni!$B$7-(AA92*Impostazioni!$B$7*Impostazioni!$B$8),0)*Impostazioni!$B$9</x:f>
        <x:v>0</x:v>
      </x:c>
      <x:c r="AG92" s="198" t="n">
        <x:f>IF(R92=0,0,AF92/R92)</x:f>
        <x:v>0</x:v>
      </x:c>
    </x:row>
    <x:row r="93">
      <x:c r="A93" s="197"/>
      <x:c r="B93" s="197"/>
      <x:c r="C93" s="197"/>
      <x:c r="D93" s="197"/>
      <x:c r="E93" s="197"/>
      <x:c r="F93" s="197"/>
      <x:c r="G93" s="197"/>
      <x:c r="H93" s="197"/>
      <x:c r="I93" s="197"/>
      <x:c r="J93" s="197"/>
      <x:c r="K93" s="198" t="n">
        <x:f>F93+H93+I93+J93</x:f>
        <x:v>0</x:v>
      </x:c>
      <x:c r="L93" s="198" t="n">
        <x:f>SUMIFS('Costi &amp; Tool'!$G:$G,'Costi &amp; Tool'!$C:$C,A93,'Costi &amp; Tool'!$H:$H,"Sì")</x:f>
        <x:v>0</x:v>
      </x:c>
      <x:c r="M93" s="197"/>
      <x:c r="N93" s="197"/>
      <x:c r="O93" s="197"/>
      <x:c r="P93" s="198" t="n">
        <x:f>L93+M93+N93+O93</x:f>
        <x:v>0</x:v>
      </x:c>
      <x:c r="Q93" s="198" t="n">
        <x:f>SUMIFS('Attività &amp; Tempi'!$N:$N,'Attività &amp; Tempi'!$A:$A,A93,'Attività &amp; Tempi'!$E:$E,"Fabio")</x:f>
        <x:v>0</x:v>
      </x:c>
      <x:c r="R93" s="198" t="n">
        <x:f>SUMIFS('Attività &amp; Tempi'!$N:$N,'Attività &amp; Tempi'!$A:$A,A93,'Attività &amp; Tempi'!$E:$E,"Frego")</x:f>
        <x:v>0</x:v>
      </x:c>
      <x:c r="S93" s="198" t="n">
        <x:f>SUMIFS('Attività &amp; Tempi'!$N:$N,'Attività &amp; Tempi'!$A:$A,A93,'Attività &amp; Tempi'!$E:$E,"Jessica")</x:f>
        <x:v>0</x:v>
      </x:c>
      <x:c r="T93" s="198" t="n">
        <x:f>Q93*Impostazioni!$B$4+R93*Impostazioni!$B$5+S93*Impostazioni!$B$6</x:f>
        <x:v>0</x:v>
      </x:c>
      <x:c r="U93" s="197"/>
      <x:c r="V93" s="198" t="n">
        <x:f>IF(1-U93=0,"",ROUND((P93+T93)/(1-U93),0))</x:f>
        <x:v>0</x:v>
      </x:c>
      <x:c r="W93" s="198" t="n">
        <x:f>K93-P93</x:f>
        <x:v>0</x:v>
      </x:c>
      <x:c r="X93" s="198" t="n">
        <x:f>IF(K93=0,0,W93/K93)</x:f>
        <x:v>0</x:v>
      </x:c>
      <x:c r="Y93" s="198" t="str">
        <x:f>IF(K93&lt;V93,IF(OR(C93="Strategico / caso studio",C93="Partnership"),"Strategico ma sottoprezzato","Cliente sottoprezzato"),IF(X93&lt;0.3,"Cliente da rinegoziare",IF((Q93+R93+S93)&gt;80,"Cliente troppo pesante","Cliente sano")))</x:f>
        <x:v>Cliente da rinegoziare</x:v>
      </x:c>
      <x:c r="Z93" s="198" t="n">
        <x:f>MAX(W93,0)/2</x:f>
        <x:v>0</x:v>
      </x:c>
      <x:c r="AA93" s="198" t="n">
        <x:f>MAX(W93,0)/2</x:f>
        <x:v>0</x:v>
      </x:c>
      <x:c r="AB93" s="198" t="n">
        <x:f>Z93*Impostazioni!$B$7*Impostazioni!$B$8</x:f>
        <x:v>0</x:v>
      </x:c>
      <x:c r="AC93" s="198" t="n">
        <x:f>MAX(Z93*Impostazioni!$B$7-AB93,0)*Impostazioni!$B$9</x:f>
        <x:v>0</x:v>
      </x:c>
      <x:c r="AD93" s="198" t="n">
        <x:f>Z93-AB93-AC93</x:f>
        <x:v>0</x:v>
      </x:c>
      <x:c r="AE93" s="198" t="n">
        <x:f>IF(Q93=0,0,AD93/Q93)</x:f>
        <x:v>0</x:v>
      </x:c>
      <x:c r="AF93" s="198" t="n">
        <x:f>AA93-(AA93*Impostazioni!$B$7*Impostazioni!$B$8)-MAX(AA93*Impostazioni!$B$7-(AA93*Impostazioni!$B$7*Impostazioni!$B$8),0)*Impostazioni!$B$9</x:f>
        <x:v>0</x:v>
      </x:c>
      <x:c r="AG93" s="198" t="n">
        <x:f>IF(R93=0,0,AF93/R93)</x:f>
        <x:v>0</x:v>
      </x:c>
    </x:row>
    <x:row r="94">
      <x:c r="A94" s="197"/>
      <x:c r="B94" s="197"/>
      <x:c r="C94" s="197"/>
      <x:c r="D94" s="197"/>
      <x:c r="E94" s="197"/>
      <x:c r="F94" s="197"/>
      <x:c r="G94" s="197"/>
      <x:c r="H94" s="197"/>
      <x:c r="I94" s="197"/>
      <x:c r="J94" s="197"/>
      <x:c r="K94" s="198" t="n">
        <x:f>F94+H94+I94+J94</x:f>
        <x:v>0</x:v>
      </x:c>
      <x:c r="L94" s="198" t="n">
        <x:f>SUMIFS('Costi &amp; Tool'!$G:$G,'Costi &amp; Tool'!$C:$C,A94,'Costi &amp; Tool'!$H:$H,"Sì")</x:f>
        <x:v>0</x:v>
      </x:c>
      <x:c r="M94" s="197"/>
      <x:c r="N94" s="197"/>
      <x:c r="O94" s="197"/>
      <x:c r="P94" s="198" t="n">
        <x:f>L94+M94+N94+O94</x:f>
        <x:v>0</x:v>
      </x:c>
      <x:c r="Q94" s="198" t="n">
        <x:f>SUMIFS('Attività &amp; Tempi'!$N:$N,'Attività &amp; Tempi'!$A:$A,A94,'Attività &amp; Tempi'!$E:$E,"Fabio")</x:f>
        <x:v>0</x:v>
      </x:c>
      <x:c r="R94" s="198" t="n">
        <x:f>SUMIFS('Attività &amp; Tempi'!$N:$N,'Attività &amp; Tempi'!$A:$A,A94,'Attività &amp; Tempi'!$E:$E,"Frego")</x:f>
        <x:v>0</x:v>
      </x:c>
      <x:c r="S94" s="198" t="n">
        <x:f>SUMIFS('Attività &amp; Tempi'!$N:$N,'Attività &amp; Tempi'!$A:$A,A94,'Attività &amp; Tempi'!$E:$E,"Jessica")</x:f>
        <x:v>0</x:v>
      </x:c>
      <x:c r="T94" s="198" t="n">
        <x:f>Q94*Impostazioni!$B$4+R94*Impostazioni!$B$5+S94*Impostazioni!$B$6</x:f>
        <x:v>0</x:v>
      </x:c>
      <x:c r="U94" s="197"/>
      <x:c r="V94" s="198" t="n">
        <x:f>IF(1-U94=0,"",ROUND((P94+T94)/(1-U94),0))</x:f>
        <x:v>0</x:v>
      </x:c>
      <x:c r="W94" s="198" t="n">
        <x:f>K94-P94</x:f>
        <x:v>0</x:v>
      </x:c>
      <x:c r="X94" s="198" t="n">
        <x:f>IF(K94=0,0,W94/K94)</x:f>
        <x:v>0</x:v>
      </x:c>
      <x:c r="Y94" s="198" t="str">
        <x:f>IF(K94&lt;V94,IF(OR(C94="Strategico / caso studio",C94="Partnership"),"Strategico ma sottoprezzato","Cliente sottoprezzato"),IF(X94&lt;0.3,"Cliente da rinegoziare",IF((Q94+R94+S94)&gt;80,"Cliente troppo pesante","Cliente sano")))</x:f>
        <x:v>Cliente da rinegoziare</x:v>
      </x:c>
      <x:c r="Z94" s="198" t="n">
        <x:f>MAX(W94,0)/2</x:f>
        <x:v>0</x:v>
      </x:c>
      <x:c r="AA94" s="198" t="n">
        <x:f>MAX(W94,0)/2</x:f>
        <x:v>0</x:v>
      </x:c>
      <x:c r="AB94" s="198" t="n">
        <x:f>Z94*Impostazioni!$B$7*Impostazioni!$B$8</x:f>
        <x:v>0</x:v>
      </x:c>
      <x:c r="AC94" s="198" t="n">
        <x:f>MAX(Z94*Impostazioni!$B$7-AB94,0)*Impostazioni!$B$9</x:f>
        <x:v>0</x:v>
      </x:c>
      <x:c r="AD94" s="198" t="n">
        <x:f>Z94-AB94-AC94</x:f>
        <x:v>0</x:v>
      </x:c>
      <x:c r="AE94" s="198" t="n">
        <x:f>IF(Q94=0,0,AD94/Q94)</x:f>
        <x:v>0</x:v>
      </x:c>
      <x:c r="AF94" s="198" t="n">
        <x:f>AA94-(AA94*Impostazioni!$B$7*Impostazioni!$B$8)-MAX(AA94*Impostazioni!$B$7-(AA94*Impostazioni!$B$7*Impostazioni!$B$8),0)*Impostazioni!$B$9</x:f>
        <x:v>0</x:v>
      </x:c>
      <x:c r="AG94" s="198" t="n">
        <x:f>IF(R94=0,0,AF94/R94)</x:f>
        <x:v>0</x:v>
      </x:c>
    </x:row>
    <x:row r="95">
      <x:c r="A95" s="197"/>
      <x:c r="B95" s="197"/>
      <x:c r="C95" s="197"/>
      <x:c r="D95" s="197"/>
      <x:c r="E95" s="197"/>
      <x:c r="F95" s="197"/>
      <x:c r="G95" s="197"/>
      <x:c r="H95" s="197"/>
      <x:c r="I95" s="197"/>
      <x:c r="J95" s="197"/>
      <x:c r="K95" s="198" t="n">
        <x:f>F95+H95+I95+J95</x:f>
        <x:v>0</x:v>
      </x:c>
      <x:c r="L95" s="198" t="n">
        <x:f>SUMIFS('Costi &amp; Tool'!$G:$G,'Costi &amp; Tool'!$C:$C,A95,'Costi &amp; Tool'!$H:$H,"Sì")</x:f>
        <x:v>0</x:v>
      </x:c>
      <x:c r="M95" s="197"/>
      <x:c r="N95" s="197"/>
      <x:c r="O95" s="197"/>
      <x:c r="P95" s="198" t="n">
        <x:f>L95+M95+N95+O95</x:f>
        <x:v>0</x:v>
      </x:c>
      <x:c r="Q95" s="198" t="n">
        <x:f>SUMIFS('Attività &amp; Tempi'!$N:$N,'Attività &amp; Tempi'!$A:$A,A95,'Attività &amp; Tempi'!$E:$E,"Fabio")</x:f>
        <x:v>0</x:v>
      </x:c>
      <x:c r="R95" s="198" t="n">
        <x:f>SUMIFS('Attività &amp; Tempi'!$N:$N,'Attività &amp; Tempi'!$A:$A,A95,'Attività &amp; Tempi'!$E:$E,"Frego")</x:f>
        <x:v>0</x:v>
      </x:c>
      <x:c r="S95" s="198" t="n">
        <x:f>SUMIFS('Attività &amp; Tempi'!$N:$N,'Attività &amp; Tempi'!$A:$A,A95,'Attività &amp; Tempi'!$E:$E,"Jessica")</x:f>
        <x:v>0</x:v>
      </x:c>
      <x:c r="T95" s="198" t="n">
        <x:f>Q95*Impostazioni!$B$4+R95*Impostazioni!$B$5+S95*Impostazioni!$B$6</x:f>
        <x:v>0</x:v>
      </x:c>
      <x:c r="U95" s="197"/>
      <x:c r="V95" s="198" t="n">
        <x:f>IF(1-U95=0,"",ROUND((P95+T95)/(1-U95),0))</x:f>
        <x:v>0</x:v>
      </x:c>
      <x:c r="W95" s="198" t="n">
        <x:f>K95-P95</x:f>
        <x:v>0</x:v>
      </x:c>
      <x:c r="X95" s="198" t="n">
        <x:f>IF(K95=0,0,W95/K95)</x:f>
        <x:v>0</x:v>
      </x:c>
      <x:c r="Y95" s="198" t="str">
        <x:f>IF(K95&lt;V95,IF(OR(C95="Strategico / caso studio",C95="Partnership"),"Strategico ma sottoprezzato","Cliente sottoprezzato"),IF(X95&lt;0.3,"Cliente da rinegoziare",IF((Q95+R95+S95)&gt;80,"Cliente troppo pesante","Cliente sano")))</x:f>
        <x:v>Cliente da rinegoziare</x:v>
      </x:c>
      <x:c r="Z95" s="198" t="n">
        <x:f>MAX(W95,0)/2</x:f>
        <x:v>0</x:v>
      </x:c>
      <x:c r="AA95" s="198" t="n">
        <x:f>MAX(W95,0)/2</x:f>
        <x:v>0</x:v>
      </x:c>
      <x:c r="AB95" s="198" t="n">
        <x:f>Z95*Impostazioni!$B$7*Impostazioni!$B$8</x:f>
        <x:v>0</x:v>
      </x:c>
      <x:c r="AC95" s="198" t="n">
        <x:f>MAX(Z95*Impostazioni!$B$7-AB95,0)*Impostazioni!$B$9</x:f>
        <x:v>0</x:v>
      </x:c>
      <x:c r="AD95" s="198" t="n">
        <x:f>Z95-AB95-AC95</x:f>
        <x:v>0</x:v>
      </x:c>
      <x:c r="AE95" s="198" t="n">
        <x:f>IF(Q95=0,0,AD95/Q95)</x:f>
        <x:v>0</x:v>
      </x:c>
      <x:c r="AF95" s="198" t="n">
        <x:f>AA95-(AA95*Impostazioni!$B$7*Impostazioni!$B$8)-MAX(AA95*Impostazioni!$B$7-(AA95*Impostazioni!$B$7*Impostazioni!$B$8),0)*Impostazioni!$B$9</x:f>
        <x:v>0</x:v>
      </x:c>
      <x:c r="AG95" s="198" t="n">
        <x:f>IF(R95=0,0,AF95/R95)</x:f>
        <x:v>0</x:v>
      </x:c>
    </x:row>
    <x:row r="96">
      <x:c r="A96" s="197"/>
      <x:c r="B96" s="197"/>
      <x:c r="C96" s="197"/>
      <x:c r="D96" s="197"/>
      <x:c r="E96" s="197"/>
      <x:c r="F96" s="197"/>
      <x:c r="G96" s="197"/>
      <x:c r="H96" s="197"/>
      <x:c r="I96" s="197"/>
      <x:c r="J96" s="197"/>
      <x:c r="K96" s="198" t="n">
        <x:f>F96+H96+I96+J96</x:f>
        <x:v>0</x:v>
      </x:c>
      <x:c r="L96" s="198" t="n">
        <x:f>SUMIFS('Costi &amp; Tool'!$G:$G,'Costi &amp; Tool'!$C:$C,A96,'Costi &amp; Tool'!$H:$H,"Sì")</x:f>
        <x:v>0</x:v>
      </x:c>
      <x:c r="M96" s="197"/>
      <x:c r="N96" s="197"/>
      <x:c r="O96" s="197"/>
      <x:c r="P96" s="198" t="n">
        <x:f>L96+M96+N96+O96</x:f>
        <x:v>0</x:v>
      </x:c>
      <x:c r="Q96" s="198" t="n">
        <x:f>SUMIFS('Attività &amp; Tempi'!$N:$N,'Attività &amp; Tempi'!$A:$A,A96,'Attività &amp; Tempi'!$E:$E,"Fabio")</x:f>
        <x:v>0</x:v>
      </x:c>
      <x:c r="R96" s="198" t="n">
        <x:f>SUMIFS('Attività &amp; Tempi'!$N:$N,'Attività &amp; Tempi'!$A:$A,A96,'Attività &amp; Tempi'!$E:$E,"Frego")</x:f>
        <x:v>0</x:v>
      </x:c>
      <x:c r="S96" s="198" t="n">
        <x:f>SUMIFS('Attività &amp; Tempi'!$N:$N,'Attività &amp; Tempi'!$A:$A,A96,'Attività &amp; Tempi'!$E:$E,"Jessica")</x:f>
        <x:v>0</x:v>
      </x:c>
      <x:c r="T96" s="198" t="n">
        <x:f>Q96*Impostazioni!$B$4+R96*Impostazioni!$B$5+S96*Impostazioni!$B$6</x:f>
        <x:v>0</x:v>
      </x:c>
      <x:c r="U96" s="197"/>
      <x:c r="V96" s="198" t="n">
        <x:f>IF(1-U96=0,"",ROUND((P96+T96)/(1-U96),0))</x:f>
        <x:v>0</x:v>
      </x:c>
      <x:c r="W96" s="198" t="n">
        <x:f>K96-P96</x:f>
        <x:v>0</x:v>
      </x:c>
      <x:c r="X96" s="198" t="n">
        <x:f>IF(K96=0,0,W96/K96)</x:f>
        <x:v>0</x:v>
      </x:c>
      <x:c r="Y96" s="198" t="str">
        <x:f>IF(K96&lt;V96,IF(OR(C96="Strategico / caso studio",C96="Partnership"),"Strategico ma sottoprezzato","Cliente sottoprezzato"),IF(X96&lt;0.3,"Cliente da rinegoziare",IF((Q96+R96+S96)&gt;80,"Cliente troppo pesante","Cliente sano")))</x:f>
        <x:v>Cliente da rinegoziare</x:v>
      </x:c>
      <x:c r="Z96" s="198" t="n">
        <x:f>MAX(W96,0)/2</x:f>
        <x:v>0</x:v>
      </x:c>
      <x:c r="AA96" s="198" t="n">
        <x:f>MAX(W96,0)/2</x:f>
        <x:v>0</x:v>
      </x:c>
      <x:c r="AB96" s="198" t="n">
        <x:f>Z96*Impostazioni!$B$7*Impostazioni!$B$8</x:f>
        <x:v>0</x:v>
      </x:c>
      <x:c r="AC96" s="198" t="n">
        <x:f>MAX(Z96*Impostazioni!$B$7-AB96,0)*Impostazioni!$B$9</x:f>
        <x:v>0</x:v>
      </x:c>
      <x:c r="AD96" s="198" t="n">
        <x:f>Z96-AB96-AC96</x:f>
        <x:v>0</x:v>
      </x:c>
      <x:c r="AE96" s="198" t="n">
        <x:f>IF(Q96=0,0,AD96/Q96)</x:f>
        <x:v>0</x:v>
      </x:c>
      <x:c r="AF96" s="198" t="n">
        <x:f>AA96-(AA96*Impostazioni!$B$7*Impostazioni!$B$8)-MAX(AA96*Impostazioni!$B$7-(AA96*Impostazioni!$B$7*Impostazioni!$B$8),0)*Impostazioni!$B$9</x:f>
        <x:v>0</x:v>
      </x:c>
      <x:c r="AG96" s="198" t="n">
        <x:f>IF(R96=0,0,AF96/R96)</x:f>
        <x:v>0</x:v>
      </x:c>
    </x:row>
    <x:row r="97">
      <x:c r="A97" s="197"/>
      <x:c r="B97" s="197"/>
      <x:c r="C97" s="197"/>
      <x:c r="D97" s="197"/>
      <x:c r="E97" s="197"/>
      <x:c r="F97" s="197"/>
      <x:c r="G97" s="197"/>
      <x:c r="H97" s="197"/>
      <x:c r="I97" s="197"/>
      <x:c r="J97" s="197"/>
      <x:c r="K97" s="198" t="n">
        <x:f>F97+H97+I97+J97</x:f>
        <x:v>0</x:v>
      </x:c>
      <x:c r="L97" s="198" t="n">
        <x:f>SUMIFS('Costi &amp; Tool'!$G:$G,'Costi &amp; Tool'!$C:$C,A97,'Costi &amp; Tool'!$H:$H,"Sì")</x:f>
        <x:v>0</x:v>
      </x:c>
      <x:c r="M97" s="197"/>
      <x:c r="N97" s="197"/>
      <x:c r="O97" s="197"/>
      <x:c r="P97" s="198" t="n">
        <x:f>L97+M97+N97+O97</x:f>
        <x:v>0</x:v>
      </x:c>
      <x:c r="Q97" s="198" t="n">
        <x:f>SUMIFS('Attività &amp; Tempi'!$N:$N,'Attività &amp; Tempi'!$A:$A,A97,'Attività &amp; Tempi'!$E:$E,"Fabio")</x:f>
        <x:v>0</x:v>
      </x:c>
      <x:c r="R97" s="198" t="n">
        <x:f>SUMIFS('Attività &amp; Tempi'!$N:$N,'Attività &amp; Tempi'!$A:$A,A97,'Attività &amp; Tempi'!$E:$E,"Frego")</x:f>
        <x:v>0</x:v>
      </x:c>
      <x:c r="S97" s="198" t="n">
        <x:f>SUMIFS('Attività &amp; Tempi'!$N:$N,'Attività &amp; Tempi'!$A:$A,A97,'Attività &amp; Tempi'!$E:$E,"Jessica")</x:f>
        <x:v>0</x:v>
      </x:c>
      <x:c r="T97" s="198" t="n">
        <x:f>Q97*Impostazioni!$B$4+R97*Impostazioni!$B$5+S97*Impostazioni!$B$6</x:f>
        <x:v>0</x:v>
      </x:c>
      <x:c r="U97" s="197"/>
      <x:c r="V97" s="198" t="n">
        <x:f>IF(1-U97=0,"",ROUND((P97+T97)/(1-U97),0))</x:f>
        <x:v>0</x:v>
      </x:c>
      <x:c r="W97" s="198" t="n">
        <x:f>K97-P97</x:f>
        <x:v>0</x:v>
      </x:c>
      <x:c r="X97" s="198" t="n">
        <x:f>IF(K97=0,0,W97/K97)</x:f>
        <x:v>0</x:v>
      </x:c>
      <x:c r="Y97" s="198" t="str">
        <x:f>IF(K97&lt;V97,IF(OR(C97="Strategico / caso studio",C97="Partnership"),"Strategico ma sottoprezzato","Cliente sottoprezzato"),IF(X97&lt;0.3,"Cliente da rinegoziare",IF((Q97+R97+S97)&gt;80,"Cliente troppo pesante","Cliente sano")))</x:f>
        <x:v>Cliente da rinegoziare</x:v>
      </x:c>
      <x:c r="Z97" s="198" t="n">
        <x:f>MAX(W97,0)/2</x:f>
        <x:v>0</x:v>
      </x:c>
      <x:c r="AA97" s="198" t="n">
        <x:f>MAX(W97,0)/2</x:f>
        <x:v>0</x:v>
      </x:c>
      <x:c r="AB97" s="198" t="n">
        <x:f>Z97*Impostazioni!$B$7*Impostazioni!$B$8</x:f>
        <x:v>0</x:v>
      </x:c>
      <x:c r="AC97" s="198" t="n">
        <x:f>MAX(Z97*Impostazioni!$B$7-AB97,0)*Impostazioni!$B$9</x:f>
        <x:v>0</x:v>
      </x:c>
      <x:c r="AD97" s="198" t="n">
        <x:f>Z97-AB97-AC97</x:f>
        <x:v>0</x:v>
      </x:c>
      <x:c r="AE97" s="198" t="n">
        <x:f>IF(Q97=0,0,AD97/Q97)</x:f>
        <x:v>0</x:v>
      </x:c>
      <x:c r="AF97" s="198" t="n">
        <x:f>AA97-(AA97*Impostazioni!$B$7*Impostazioni!$B$8)-MAX(AA97*Impostazioni!$B$7-(AA97*Impostazioni!$B$7*Impostazioni!$B$8),0)*Impostazioni!$B$9</x:f>
        <x:v>0</x:v>
      </x:c>
      <x:c r="AG97" s="198" t="n">
        <x:f>IF(R97=0,0,AF97/R97)</x:f>
        <x:v>0</x:v>
      </x:c>
    </x:row>
    <x:row r="98">
      <x:c r="A98" s="197"/>
      <x:c r="B98" s="197"/>
      <x:c r="C98" s="197"/>
      <x:c r="D98" s="197"/>
      <x:c r="E98" s="197"/>
      <x:c r="F98" s="197"/>
      <x:c r="G98" s="197"/>
      <x:c r="H98" s="197"/>
      <x:c r="I98" s="197"/>
      <x:c r="J98" s="197"/>
      <x:c r="K98" s="198" t="n">
        <x:f>F98+H98+I98+J98</x:f>
        <x:v>0</x:v>
      </x:c>
      <x:c r="L98" s="198" t="n">
        <x:f>SUMIFS('Costi &amp; Tool'!$G:$G,'Costi &amp; Tool'!$C:$C,A98,'Costi &amp; Tool'!$H:$H,"Sì")</x:f>
        <x:v>0</x:v>
      </x:c>
      <x:c r="M98" s="197"/>
      <x:c r="N98" s="197"/>
      <x:c r="O98" s="197"/>
      <x:c r="P98" s="198" t="n">
        <x:f>L98+M98+N98+O98</x:f>
        <x:v>0</x:v>
      </x:c>
      <x:c r="Q98" s="198" t="n">
        <x:f>SUMIFS('Attività &amp; Tempi'!$N:$N,'Attività &amp; Tempi'!$A:$A,A98,'Attività &amp; Tempi'!$E:$E,"Fabio")</x:f>
        <x:v>0</x:v>
      </x:c>
      <x:c r="R98" s="198" t="n">
        <x:f>SUMIFS('Attività &amp; Tempi'!$N:$N,'Attività &amp; Tempi'!$A:$A,A98,'Attività &amp; Tempi'!$E:$E,"Frego")</x:f>
        <x:v>0</x:v>
      </x:c>
      <x:c r="S98" s="198" t="n">
        <x:f>SUMIFS('Attività &amp; Tempi'!$N:$N,'Attività &amp; Tempi'!$A:$A,A98,'Attività &amp; Tempi'!$E:$E,"Jessica")</x:f>
        <x:v>0</x:v>
      </x:c>
      <x:c r="T98" s="198" t="n">
        <x:f>Q98*Impostazioni!$B$4+R98*Impostazioni!$B$5+S98*Impostazioni!$B$6</x:f>
        <x:v>0</x:v>
      </x:c>
      <x:c r="U98" s="197"/>
      <x:c r="V98" s="198" t="n">
        <x:f>IF(1-U98=0,"",ROUND((P98+T98)/(1-U98),0))</x:f>
        <x:v>0</x:v>
      </x:c>
      <x:c r="W98" s="198" t="n">
        <x:f>K98-P98</x:f>
        <x:v>0</x:v>
      </x:c>
      <x:c r="X98" s="198" t="n">
        <x:f>IF(K98=0,0,W98/K98)</x:f>
        <x:v>0</x:v>
      </x:c>
      <x:c r="Y98" s="198" t="str">
        <x:f>IF(K98&lt;V98,IF(OR(C98="Strategico / caso studio",C98="Partnership"),"Strategico ma sottoprezzato","Cliente sottoprezzato"),IF(X98&lt;0.3,"Cliente da rinegoziare",IF((Q98+R98+S98)&gt;80,"Cliente troppo pesante","Cliente sano")))</x:f>
        <x:v>Cliente da rinegoziare</x:v>
      </x:c>
      <x:c r="Z98" s="198" t="n">
        <x:f>MAX(W98,0)/2</x:f>
        <x:v>0</x:v>
      </x:c>
      <x:c r="AA98" s="198" t="n">
        <x:f>MAX(W98,0)/2</x:f>
        <x:v>0</x:v>
      </x:c>
      <x:c r="AB98" s="198" t="n">
        <x:f>Z98*Impostazioni!$B$7*Impostazioni!$B$8</x:f>
        <x:v>0</x:v>
      </x:c>
      <x:c r="AC98" s="198" t="n">
        <x:f>MAX(Z98*Impostazioni!$B$7-AB98,0)*Impostazioni!$B$9</x:f>
        <x:v>0</x:v>
      </x:c>
      <x:c r="AD98" s="198" t="n">
        <x:f>Z98-AB98-AC98</x:f>
        <x:v>0</x:v>
      </x:c>
      <x:c r="AE98" s="198" t="n">
        <x:f>IF(Q98=0,0,AD98/Q98)</x:f>
        <x:v>0</x:v>
      </x:c>
      <x:c r="AF98" s="198" t="n">
        <x:f>AA98-(AA98*Impostazioni!$B$7*Impostazioni!$B$8)-MAX(AA98*Impostazioni!$B$7-(AA98*Impostazioni!$B$7*Impostazioni!$B$8),0)*Impostazioni!$B$9</x:f>
        <x:v>0</x:v>
      </x:c>
      <x:c r="AG98" s="198" t="n">
        <x:f>IF(R98=0,0,AF98/R98)</x:f>
        <x:v>0</x:v>
      </x:c>
    </x:row>
    <x:row r="99">
      <x:c r="A99" s="197"/>
      <x:c r="B99" s="197"/>
      <x:c r="C99" s="197"/>
      <x:c r="D99" s="197"/>
      <x:c r="E99" s="197"/>
      <x:c r="F99" s="197"/>
      <x:c r="G99" s="197"/>
      <x:c r="H99" s="197"/>
      <x:c r="I99" s="197"/>
      <x:c r="J99" s="197"/>
      <x:c r="K99" s="198" t="n">
        <x:f>F99+H99+I99+J99</x:f>
        <x:v>0</x:v>
      </x:c>
      <x:c r="L99" s="198" t="n">
        <x:f>SUMIFS('Costi &amp; Tool'!$G:$G,'Costi &amp; Tool'!$C:$C,A99,'Costi &amp; Tool'!$H:$H,"Sì")</x:f>
        <x:v>0</x:v>
      </x:c>
      <x:c r="M99" s="197"/>
      <x:c r="N99" s="197"/>
      <x:c r="O99" s="197"/>
      <x:c r="P99" s="198" t="n">
        <x:f>L99+M99+N99+O99</x:f>
        <x:v>0</x:v>
      </x:c>
      <x:c r="Q99" s="198" t="n">
        <x:f>SUMIFS('Attività &amp; Tempi'!$N:$N,'Attività &amp; Tempi'!$A:$A,A99,'Attività &amp; Tempi'!$E:$E,"Fabio")</x:f>
        <x:v>0</x:v>
      </x:c>
      <x:c r="R99" s="198" t="n">
        <x:f>SUMIFS('Attività &amp; Tempi'!$N:$N,'Attività &amp; Tempi'!$A:$A,A99,'Attività &amp; Tempi'!$E:$E,"Frego")</x:f>
        <x:v>0</x:v>
      </x:c>
      <x:c r="S99" s="198" t="n">
        <x:f>SUMIFS('Attività &amp; Tempi'!$N:$N,'Attività &amp; Tempi'!$A:$A,A99,'Attività &amp; Tempi'!$E:$E,"Jessica")</x:f>
        <x:v>0</x:v>
      </x:c>
      <x:c r="T99" s="198" t="n">
        <x:f>Q99*Impostazioni!$B$4+R99*Impostazioni!$B$5+S99*Impostazioni!$B$6</x:f>
        <x:v>0</x:v>
      </x:c>
      <x:c r="U99" s="197"/>
      <x:c r="V99" s="198" t="n">
        <x:f>IF(1-U99=0,"",ROUND((P99+T99)/(1-U99),0))</x:f>
        <x:v>0</x:v>
      </x:c>
      <x:c r="W99" s="198" t="n">
        <x:f>K99-P99</x:f>
        <x:v>0</x:v>
      </x:c>
      <x:c r="X99" s="198" t="n">
        <x:f>IF(K99=0,0,W99/K99)</x:f>
        <x:v>0</x:v>
      </x:c>
      <x:c r="Y99" s="198" t="str">
        <x:f>IF(K99&lt;V99,IF(OR(C99="Strategico / caso studio",C99="Partnership"),"Strategico ma sottoprezzato","Cliente sottoprezzato"),IF(X99&lt;0.3,"Cliente da rinegoziare",IF((Q99+R99+S99)&gt;80,"Cliente troppo pesante","Cliente sano")))</x:f>
        <x:v>Cliente da rinegoziare</x:v>
      </x:c>
      <x:c r="Z99" s="198" t="n">
        <x:f>MAX(W99,0)/2</x:f>
        <x:v>0</x:v>
      </x:c>
      <x:c r="AA99" s="198" t="n">
        <x:f>MAX(W99,0)/2</x:f>
        <x:v>0</x:v>
      </x:c>
      <x:c r="AB99" s="198" t="n">
        <x:f>Z99*Impostazioni!$B$7*Impostazioni!$B$8</x:f>
        <x:v>0</x:v>
      </x:c>
      <x:c r="AC99" s="198" t="n">
        <x:f>MAX(Z99*Impostazioni!$B$7-AB99,0)*Impostazioni!$B$9</x:f>
        <x:v>0</x:v>
      </x:c>
      <x:c r="AD99" s="198" t="n">
        <x:f>Z99-AB99-AC99</x:f>
        <x:v>0</x:v>
      </x:c>
      <x:c r="AE99" s="198" t="n">
        <x:f>IF(Q99=0,0,AD99/Q99)</x:f>
        <x:v>0</x:v>
      </x:c>
      <x:c r="AF99" s="198" t="n">
        <x:f>AA99-(AA99*Impostazioni!$B$7*Impostazioni!$B$8)-MAX(AA99*Impostazioni!$B$7-(AA99*Impostazioni!$B$7*Impostazioni!$B$8),0)*Impostazioni!$B$9</x:f>
        <x:v>0</x:v>
      </x:c>
      <x:c r="AG99" s="198" t="n">
        <x:f>IF(R99=0,0,AF99/R99)</x:f>
        <x:v>0</x:v>
      </x:c>
    </x:row>
    <x:row r="100">
      <x:c r="A100" s="197"/>
      <x:c r="B100" s="197"/>
      <x:c r="C100" s="197"/>
      <x:c r="D100" s="197"/>
      <x:c r="E100" s="197"/>
      <x:c r="F100" s="197"/>
      <x:c r="G100" s="197"/>
      <x:c r="H100" s="197"/>
      <x:c r="I100" s="197"/>
      <x:c r="J100" s="197"/>
      <x:c r="K100" s="198" t="n">
        <x:f>F100+H100+I100+J100</x:f>
        <x:v>0</x:v>
      </x:c>
      <x:c r="L100" s="198" t="n">
        <x:f>SUMIFS('Costi &amp; Tool'!$G:$G,'Costi &amp; Tool'!$C:$C,A100,'Costi &amp; Tool'!$H:$H,"Sì")</x:f>
        <x:v>0</x:v>
      </x:c>
      <x:c r="M100" s="197"/>
      <x:c r="N100" s="197"/>
      <x:c r="O100" s="197"/>
      <x:c r="P100" s="198" t="n">
        <x:f>L100+M100+N100+O100</x:f>
        <x:v>0</x:v>
      </x:c>
      <x:c r="Q100" s="198" t="n">
        <x:f>SUMIFS('Attività &amp; Tempi'!$N:$N,'Attività &amp; Tempi'!$A:$A,A100,'Attività &amp; Tempi'!$E:$E,"Fabio")</x:f>
        <x:v>0</x:v>
      </x:c>
      <x:c r="R100" s="198" t="n">
        <x:f>SUMIFS('Attività &amp; Tempi'!$N:$N,'Attività &amp; Tempi'!$A:$A,A100,'Attività &amp; Tempi'!$E:$E,"Frego")</x:f>
        <x:v>0</x:v>
      </x:c>
      <x:c r="S100" s="198" t="n">
        <x:f>SUMIFS('Attività &amp; Tempi'!$N:$N,'Attività &amp; Tempi'!$A:$A,A100,'Attività &amp; Tempi'!$E:$E,"Jessica")</x:f>
        <x:v>0</x:v>
      </x:c>
      <x:c r="T100" s="198" t="n">
        <x:f>Q100*Impostazioni!$B$4+R100*Impostazioni!$B$5+S100*Impostazioni!$B$6</x:f>
        <x:v>0</x:v>
      </x:c>
      <x:c r="U100" s="197"/>
      <x:c r="V100" s="198" t="n">
        <x:f>IF(1-U100=0,"",ROUND((P100+T100)/(1-U100),0))</x:f>
        <x:v>0</x:v>
      </x:c>
      <x:c r="W100" s="198" t="n">
        <x:f>K100-P100</x:f>
        <x:v>0</x:v>
      </x:c>
      <x:c r="X100" s="198" t="n">
        <x:f>IF(K100=0,0,W100/K100)</x:f>
        <x:v>0</x:v>
      </x:c>
      <x:c r="Y100" s="198" t="str">
        <x:f>IF(K100&lt;V100,IF(OR(C100="Strategico / caso studio",C100="Partnership"),"Strategico ma sottoprezzato","Cliente sottoprezzato"),IF(X100&lt;0.3,"Cliente da rinegoziare",IF((Q100+R100+S100)&gt;80,"Cliente troppo pesante","Cliente sano")))</x:f>
        <x:v>Cliente da rinegoziare</x:v>
      </x:c>
      <x:c r="Z100" s="198" t="n">
        <x:f>MAX(W100,0)/2</x:f>
        <x:v>0</x:v>
      </x:c>
      <x:c r="AA100" s="198" t="n">
        <x:f>MAX(W100,0)/2</x:f>
        <x:v>0</x:v>
      </x:c>
      <x:c r="AB100" s="198" t="n">
        <x:f>Z100*Impostazioni!$B$7*Impostazioni!$B$8</x:f>
        <x:v>0</x:v>
      </x:c>
      <x:c r="AC100" s="198" t="n">
        <x:f>MAX(Z100*Impostazioni!$B$7-AB100,0)*Impostazioni!$B$9</x:f>
        <x:v>0</x:v>
      </x:c>
      <x:c r="AD100" s="198" t="n">
        <x:f>Z100-AB100-AC100</x:f>
        <x:v>0</x:v>
      </x:c>
      <x:c r="AE100" s="198" t="n">
        <x:f>IF(Q100=0,0,AD100/Q100)</x:f>
        <x:v>0</x:v>
      </x:c>
      <x:c r="AF100" s="198" t="n">
        <x:f>AA100-(AA100*Impostazioni!$B$7*Impostazioni!$B$8)-MAX(AA100*Impostazioni!$B$7-(AA100*Impostazioni!$B$7*Impostazioni!$B$8),0)*Impostazioni!$B$9</x:f>
        <x:v>0</x:v>
      </x:c>
      <x:c r="AG100" s="198" t="n">
        <x:f>IF(R100=0,0,AF100/R100)</x:f>
        <x:v>0</x:v>
      </x:c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  <x:c r="AA101" s="39"/>
      <x:c r="AB101" s="39"/>
      <x:c r="AC101" s="39"/>
      <x:c r="AD101" s="39"/>
      <x:c r="AE101" s="39"/>
      <x:c r="AF101" s="39"/>
      <x:c r="AG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  <x:c r="AA102" s="39"/>
      <x:c r="AB102" s="39"/>
      <x:c r="AC102" s="39"/>
      <x:c r="AD102" s="39"/>
      <x:c r="AE102" s="39"/>
      <x:c r="AF102" s="39"/>
      <x:c r="AG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  <x:c r="AA103" s="39"/>
      <x:c r="AB103" s="39"/>
      <x:c r="AC103" s="39"/>
      <x:c r="AD103" s="39"/>
      <x:c r="AE103" s="39"/>
      <x:c r="AF103" s="39"/>
      <x:c r="AG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  <x:c r="AA104" s="39"/>
      <x:c r="AB104" s="39"/>
      <x:c r="AC104" s="39"/>
      <x:c r="AD104" s="39"/>
      <x:c r="AE104" s="39"/>
      <x:c r="AF104" s="39"/>
      <x:c r="AG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  <x:c r="AA105" s="39"/>
      <x:c r="AB105" s="39"/>
      <x:c r="AC105" s="39"/>
      <x:c r="AD105" s="39"/>
      <x:c r="AE105" s="39"/>
      <x:c r="AF105" s="39"/>
      <x:c r="AG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  <x:c r="AA106" s="39"/>
      <x:c r="AB106" s="39"/>
      <x:c r="AC106" s="39"/>
      <x:c r="AD106" s="39"/>
      <x:c r="AE106" s="39"/>
      <x:c r="AF106" s="39"/>
      <x:c r="AG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  <x:c r="AA107" s="39"/>
      <x:c r="AB107" s="39"/>
      <x:c r="AC107" s="39"/>
      <x:c r="AD107" s="39"/>
      <x:c r="AE107" s="39"/>
      <x:c r="AF107" s="39"/>
      <x:c r="AG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  <x:c r="AA108" s="39"/>
      <x:c r="AB108" s="39"/>
      <x:c r="AC108" s="39"/>
      <x:c r="AD108" s="39"/>
      <x:c r="AE108" s="39"/>
      <x:c r="AF108" s="39"/>
      <x:c r="AG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  <x:c r="AA109" s="39"/>
      <x:c r="AB109" s="39"/>
      <x:c r="AC109" s="39"/>
      <x:c r="AD109" s="39"/>
      <x:c r="AE109" s="39"/>
      <x:c r="AF109" s="39"/>
      <x:c r="AG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  <x:c r="AA110" s="39"/>
      <x:c r="AB110" s="39"/>
      <x:c r="AC110" s="39"/>
      <x:c r="AD110" s="39"/>
      <x:c r="AE110" s="39"/>
      <x:c r="AF110" s="39"/>
      <x:c r="AG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  <x:c r="AA111" s="39"/>
      <x:c r="AB111" s="39"/>
      <x:c r="AC111" s="39"/>
      <x:c r="AD111" s="39"/>
      <x:c r="AE111" s="39"/>
      <x:c r="AF111" s="39"/>
      <x:c r="AG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  <x:c r="AA112" s="39"/>
      <x:c r="AB112" s="39"/>
      <x:c r="AC112" s="39"/>
      <x:c r="AD112" s="39"/>
      <x:c r="AE112" s="39"/>
      <x:c r="AF112" s="39"/>
      <x:c r="AG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  <x:c r="AA113" s="39"/>
      <x:c r="AB113" s="39"/>
      <x:c r="AC113" s="39"/>
      <x:c r="AD113" s="39"/>
      <x:c r="AE113" s="39"/>
      <x:c r="AF113" s="39"/>
      <x:c r="AG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  <x:c r="AA114" s="39"/>
      <x:c r="AB114" s="39"/>
      <x:c r="AC114" s="39"/>
      <x:c r="AD114" s="39"/>
      <x:c r="AE114" s="39"/>
      <x:c r="AF114" s="39"/>
      <x:c r="AG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  <x:c r="AA115" s="39"/>
      <x:c r="AB115" s="39"/>
      <x:c r="AC115" s="39"/>
      <x:c r="AD115" s="39"/>
      <x:c r="AE115" s="39"/>
      <x:c r="AF115" s="39"/>
      <x:c r="AG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  <x:c r="AA116" s="39"/>
      <x:c r="AB116" s="39"/>
      <x:c r="AC116" s="39"/>
      <x:c r="AD116" s="39"/>
      <x:c r="AE116" s="39"/>
      <x:c r="AF116" s="39"/>
      <x:c r="AG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  <x:c r="AA117" s="39"/>
      <x:c r="AB117" s="39"/>
      <x:c r="AC117" s="39"/>
      <x:c r="AD117" s="39"/>
      <x:c r="AE117" s="39"/>
      <x:c r="AF117" s="39"/>
      <x:c r="AG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  <x:c r="AA118" s="39"/>
      <x:c r="AB118" s="39"/>
      <x:c r="AC118" s="39"/>
      <x:c r="AD118" s="39"/>
      <x:c r="AE118" s="39"/>
      <x:c r="AF118" s="39"/>
      <x:c r="AG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  <x:c r="AA119" s="39"/>
      <x:c r="AB119" s="39"/>
      <x:c r="AC119" s="39"/>
      <x:c r="AD119" s="39"/>
      <x:c r="AE119" s="39"/>
      <x:c r="AF119" s="39"/>
      <x:c r="AG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  <x:c r="AA120" s="39"/>
      <x:c r="AB120" s="39"/>
      <x:c r="AC120" s="39"/>
      <x:c r="AD120" s="39"/>
      <x:c r="AE120" s="39"/>
      <x:c r="AF120" s="39"/>
      <x:c r="AG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  <x:c r="AA121" s="39"/>
      <x:c r="AB121" s="39"/>
      <x:c r="AC121" s="39"/>
      <x:c r="AD121" s="39"/>
      <x:c r="AE121" s="39"/>
      <x:c r="AF121" s="39"/>
      <x:c r="AG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  <x:c r="AA122" s="39"/>
      <x:c r="AB122" s="39"/>
      <x:c r="AC122" s="39"/>
      <x:c r="AD122" s="39"/>
      <x:c r="AE122" s="39"/>
      <x:c r="AF122" s="39"/>
      <x:c r="AG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  <x:c r="AA123" s="39"/>
      <x:c r="AB123" s="39"/>
      <x:c r="AC123" s="39"/>
      <x:c r="AD123" s="39"/>
      <x:c r="AE123" s="39"/>
      <x:c r="AF123" s="39"/>
      <x:c r="AG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  <x:c r="AA124" s="39"/>
      <x:c r="AB124" s="39"/>
      <x:c r="AC124" s="39"/>
      <x:c r="AD124" s="39"/>
      <x:c r="AE124" s="39"/>
      <x:c r="AF124" s="39"/>
      <x:c r="AG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  <x:c r="AA125" s="39"/>
      <x:c r="AB125" s="39"/>
      <x:c r="AC125" s="39"/>
      <x:c r="AD125" s="39"/>
      <x:c r="AE125" s="39"/>
      <x:c r="AF125" s="39"/>
      <x:c r="AG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  <x:c r="AA126" s="39"/>
      <x:c r="AB126" s="39"/>
      <x:c r="AC126" s="39"/>
      <x:c r="AD126" s="39"/>
      <x:c r="AE126" s="39"/>
      <x:c r="AF126" s="39"/>
      <x:c r="AG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  <x:c r="AA127" s="39"/>
      <x:c r="AB127" s="39"/>
      <x:c r="AC127" s="39"/>
      <x:c r="AD127" s="39"/>
      <x:c r="AE127" s="39"/>
      <x:c r="AF127" s="39"/>
      <x:c r="AG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  <x:c r="AA128" s="39"/>
      <x:c r="AB128" s="39"/>
      <x:c r="AC128" s="39"/>
      <x:c r="AD128" s="39"/>
      <x:c r="AE128" s="39"/>
      <x:c r="AF128" s="39"/>
      <x:c r="AG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  <x:c r="AA129" s="39"/>
      <x:c r="AB129" s="39"/>
      <x:c r="AC129" s="39"/>
      <x:c r="AD129" s="39"/>
      <x:c r="AE129" s="39"/>
      <x:c r="AF129" s="39"/>
      <x:c r="AG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  <x:c r="AA130" s="39"/>
      <x:c r="AB130" s="39"/>
      <x:c r="AC130" s="39"/>
      <x:c r="AD130" s="39"/>
      <x:c r="AE130" s="39"/>
      <x:c r="AF130" s="39"/>
      <x:c r="AG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  <x:c r="AA131" s="39"/>
      <x:c r="AB131" s="39"/>
      <x:c r="AC131" s="39"/>
      <x:c r="AD131" s="39"/>
      <x:c r="AE131" s="39"/>
      <x:c r="AF131" s="39"/>
      <x:c r="AG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  <x:c r="AA132" s="39"/>
      <x:c r="AB132" s="39"/>
      <x:c r="AC132" s="39"/>
      <x:c r="AD132" s="39"/>
      <x:c r="AE132" s="39"/>
      <x:c r="AF132" s="39"/>
      <x:c r="AG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  <x:c r="AA133" s="39"/>
      <x:c r="AB133" s="39"/>
      <x:c r="AC133" s="39"/>
      <x:c r="AD133" s="39"/>
      <x:c r="AE133" s="39"/>
      <x:c r="AF133" s="39"/>
      <x:c r="AG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  <x:c r="AA134" s="39"/>
      <x:c r="AB134" s="39"/>
      <x:c r="AC134" s="39"/>
      <x:c r="AD134" s="39"/>
      <x:c r="AE134" s="39"/>
      <x:c r="AF134" s="39"/>
      <x:c r="AG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  <x:c r="AA135" s="39"/>
      <x:c r="AB135" s="39"/>
      <x:c r="AC135" s="39"/>
      <x:c r="AD135" s="39"/>
      <x:c r="AE135" s="39"/>
      <x:c r="AF135" s="39"/>
      <x:c r="AG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  <x:c r="AA136" s="39"/>
      <x:c r="AB136" s="39"/>
      <x:c r="AC136" s="39"/>
      <x:c r="AD136" s="39"/>
      <x:c r="AE136" s="39"/>
      <x:c r="AF136" s="39"/>
      <x:c r="AG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  <x:c r="AA137" s="39"/>
      <x:c r="AB137" s="39"/>
      <x:c r="AC137" s="39"/>
      <x:c r="AD137" s="39"/>
      <x:c r="AE137" s="39"/>
      <x:c r="AF137" s="39"/>
      <x:c r="AG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  <x:c r="AA138" s="39"/>
      <x:c r="AB138" s="39"/>
      <x:c r="AC138" s="39"/>
      <x:c r="AD138" s="39"/>
      <x:c r="AE138" s="39"/>
      <x:c r="AF138" s="39"/>
      <x:c r="AG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  <x:c r="AA139" s="39"/>
      <x:c r="AB139" s="39"/>
      <x:c r="AC139" s="39"/>
      <x:c r="AD139" s="39"/>
      <x:c r="AE139" s="39"/>
      <x:c r="AF139" s="39"/>
      <x:c r="AG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  <x:c r="AA140" s="39"/>
      <x:c r="AB140" s="39"/>
      <x:c r="AC140" s="39"/>
      <x:c r="AD140" s="39"/>
      <x:c r="AE140" s="39"/>
      <x:c r="AF140" s="39"/>
      <x:c r="AG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  <x:c r="AA141" s="39"/>
      <x:c r="AB141" s="39"/>
      <x:c r="AC141" s="39"/>
      <x:c r="AD141" s="39"/>
      <x:c r="AE141" s="39"/>
      <x:c r="AF141" s="39"/>
      <x:c r="AG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  <x:c r="AA142" s="39"/>
      <x:c r="AB142" s="39"/>
      <x:c r="AC142" s="39"/>
      <x:c r="AD142" s="39"/>
      <x:c r="AE142" s="39"/>
      <x:c r="AF142" s="39"/>
      <x:c r="AG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  <x:c r="AA143" s="39"/>
      <x:c r="AB143" s="39"/>
      <x:c r="AC143" s="39"/>
      <x:c r="AD143" s="39"/>
      <x:c r="AE143" s="39"/>
      <x:c r="AF143" s="39"/>
      <x:c r="AG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  <x:c r="AA144" s="39"/>
      <x:c r="AB144" s="39"/>
      <x:c r="AC144" s="39"/>
      <x:c r="AD144" s="39"/>
      <x:c r="AE144" s="39"/>
      <x:c r="AF144" s="39"/>
      <x:c r="AG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  <x:c r="AA145" s="39"/>
      <x:c r="AB145" s="39"/>
      <x:c r="AC145" s="39"/>
      <x:c r="AD145" s="39"/>
      <x:c r="AE145" s="39"/>
      <x:c r="AF145" s="39"/>
      <x:c r="AG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  <x:c r="AA146" s="39"/>
      <x:c r="AB146" s="39"/>
      <x:c r="AC146" s="39"/>
      <x:c r="AD146" s="39"/>
      <x:c r="AE146" s="39"/>
      <x:c r="AF146" s="39"/>
      <x:c r="AG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  <x:c r="AA147" s="39"/>
      <x:c r="AB147" s="39"/>
      <x:c r="AC147" s="39"/>
      <x:c r="AD147" s="39"/>
      <x:c r="AE147" s="39"/>
      <x:c r="AF147" s="39"/>
      <x:c r="AG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  <x:c r="AA148" s="39"/>
      <x:c r="AB148" s="39"/>
      <x:c r="AC148" s="39"/>
      <x:c r="AD148" s="39"/>
      <x:c r="AE148" s="39"/>
      <x:c r="AF148" s="39"/>
      <x:c r="AG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  <x:c r="AA149" s="39"/>
      <x:c r="AB149" s="39"/>
      <x:c r="AC149" s="39"/>
      <x:c r="AD149" s="39"/>
      <x:c r="AE149" s="39"/>
      <x:c r="AF149" s="39"/>
      <x:c r="AG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  <x:c r="AA150" s="39"/>
      <x:c r="AB150" s="39"/>
      <x:c r="AC150" s="39"/>
      <x:c r="AD150" s="39"/>
      <x:c r="AE150" s="39"/>
      <x:c r="AF150" s="39"/>
      <x:c r="AG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  <x:c r="AA151" s="39"/>
      <x:c r="AB151" s="39"/>
      <x:c r="AC151" s="39"/>
      <x:c r="AD151" s="39"/>
      <x:c r="AE151" s="39"/>
      <x:c r="AF151" s="39"/>
      <x:c r="AG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  <x:c r="AA152" s="39"/>
      <x:c r="AB152" s="39"/>
      <x:c r="AC152" s="39"/>
      <x:c r="AD152" s="39"/>
      <x:c r="AE152" s="39"/>
      <x:c r="AF152" s="39"/>
      <x:c r="AG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  <x:c r="AA153" s="39"/>
      <x:c r="AB153" s="39"/>
      <x:c r="AC153" s="39"/>
      <x:c r="AD153" s="39"/>
      <x:c r="AE153" s="39"/>
      <x:c r="AF153" s="39"/>
      <x:c r="AG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  <x:c r="AA154" s="39"/>
      <x:c r="AB154" s="39"/>
      <x:c r="AC154" s="39"/>
      <x:c r="AD154" s="39"/>
      <x:c r="AE154" s="39"/>
      <x:c r="AF154" s="39"/>
      <x:c r="AG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  <x:c r="AA155" s="39"/>
      <x:c r="AB155" s="39"/>
      <x:c r="AC155" s="39"/>
      <x:c r="AD155" s="39"/>
      <x:c r="AE155" s="39"/>
      <x:c r="AF155" s="39"/>
      <x:c r="AG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  <x:c r="AA156" s="39"/>
      <x:c r="AB156" s="39"/>
      <x:c r="AC156" s="39"/>
      <x:c r="AD156" s="39"/>
      <x:c r="AE156" s="39"/>
      <x:c r="AF156" s="39"/>
      <x:c r="AG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  <x:c r="AA157" s="39"/>
      <x:c r="AB157" s="39"/>
      <x:c r="AC157" s="39"/>
      <x:c r="AD157" s="39"/>
      <x:c r="AE157" s="39"/>
      <x:c r="AF157" s="39"/>
      <x:c r="AG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  <x:c r="AA158" s="39"/>
      <x:c r="AB158" s="39"/>
      <x:c r="AC158" s="39"/>
      <x:c r="AD158" s="39"/>
      <x:c r="AE158" s="39"/>
      <x:c r="AF158" s="39"/>
      <x:c r="AG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  <x:c r="AA159" s="39"/>
      <x:c r="AB159" s="39"/>
      <x:c r="AC159" s="39"/>
      <x:c r="AD159" s="39"/>
      <x:c r="AE159" s="39"/>
      <x:c r="AF159" s="39"/>
      <x:c r="AG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  <x:c r="AA160" s="39"/>
      <x:c r="AB160" s="39"/>
      <x:c r="AC160" s="39"/>
      <x:c r="AD160" s="39"/>
      <x:c r="AE160" s="39"/>
      <x:c r="AF160" s="39"/>
      <x:c r="AG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  <x:c r="AA161" s="39"/>
      <x:c r="AB161" s="39"/>
      <x:c r="AC161" s="39"/>
      <x:c r="AD161" s="39"/>
      <x:c r="AE161" s="39"/>
      <x:c r="AF161" s="39"/>
      <x:c r="AG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  <x:c r="AA162" s="39"/>
      <x:c r="AB162" s="39"/>
      <x:c r="AC162" s="39"/>
      <x:c r="AD162" s="39"/>
      <x:c r="AE162" s="39"/>
      <x:c r="AF162" s="39"/>
      <x:c r="AG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  <x:c r="AA163" s="39"/>
      <x:c r="AB163" s="39"/>
      <x:c r="AC163" s="39"/>
      <x:c r="AD163" s="39"/>
      <x:c r="AE163" s="39"/>
      <x:c r="AF163" s="39"/>
      <x:c r="AG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  <x:c r="AA164" s="39"/>
      <x:c r="AB164" s="39"/>
      <x:c r="AC164" s="39"/>
      <x:c r="AD164" s="39"/>
      <x:c r="AE164" s="39"/>
      <x:c r="AF164" s="39"/>
      <x:c r="AG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  <x:c r="AA165" s="39"/>
      <x:c r="AB165" s="39"/>
      <x:c r="AC165" s="39"/>
      <x:c r="AD165" s="39"/>
      <x:c r="AE165" s="39"/>
      <x:c r="AF165" s="39"/>
      <x:c r="AG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  <x:c r="AA166" s="39"/>
      <x:c r="AB166" s="39"/>
      <x:c r="AC166" s="39"/>
      <x:c r="AD166" s="39"/>
      <x:c r="AE166" s="39"/>
      <x:c r="AF166" s="39"/>
      <x:c r="AG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  <x:c r="AA167" s="39"/>
      <x:c r="AB167" s="39"/>
      <x:c r="AC167" s="39"/>
      <x:c r="AD167" s="39"/>
      <x:c r="AE167" s="39"/>
      <x:c r="AF167" s="39"/>
      <x:c r="AG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  <x:c r="AA168" s="39"/>
      <x:c r="AB168" s="39"/>
      <x:c r="AC168" s="39"/>
      <x:c r="AD168" s="39"/>
      <x:c r="AE168" s="39"/>
      <x:c r="AF168" s="39"/>
      <x:c r="AG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  <x:c r="AA169" s="39"/>
      <x:c r="AB169" s="39"/>
      <x:c r="AC169" s="39"/>
      <x:c r="AD169" s="39"/>
      <x:c r="AE169" s="39"/>
      <x:c r="AF169" s="39"/>
      <x:c r="AG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  <x:c r="AA170" s="39"/>
      <x:c r="AB170" s="39"/>
      <x:c r="AC170" s="39"/>
      <x:c r="AD170" s="39"/>
      <x:c r="AE170" s="39"/>
      <x:c r="AF170" s="39"/>
      <x:c r="AG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  <x:c r="AA171" s="39"/>
      <x:c r="AB171" s="39"/>
      <x:c r="AC171" s="39"/>
      <x:c r="AD171" s="39"/>
      <x:c r="AE171" s="39"/>
      <x:c r="AF171" s="39"/>
      <x:c r="AG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  <x:c r="AA172" s="39"/>
      <x:c r="AB172" s="39"/>
      <x:c r="AC172" s="39"/>
      <x:c r="AD172" s="39"/>
      <x:c r="AE172" s="39"/>
      <x:c r="AF172" s="39"/>
      <x:c r="AG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  <x:c r="AA173" s="39"/>
      <x:c r="AB173" s="39"/>
      <x:c r="AC173" s="39"/>
      <x:c r="AD173" s="39"/>
      <x:c r="AE173" s="39"/>
      <x:c r="AF173" s="39"/>
      <x:c r="AG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  <x:c r="AA174" s="39"/>
      <x:c r="AB174" s="39"/>
      <x:c r="AC174" s="39"/>
      <x:c r="AD174" s="39"/>
      <x:c r="AE174" s="39"/>
      <x:c r="AF174" s="39"/>
      <x:c r="AG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  <x:c r="AA175" s="39"/>
      <x:c r="AB175" s="39"/>
      <x:c r="AC175" s="39"/>
      <x:c r="AD175" s="39"/>
      <x:c r="AE175" s="39"/>
      <x:c r="AF175" s="39"/>
      <x:c r="AG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  <x:c r="AA176" s="39"/>
      <x:c r="AB176" s="39"/>
      <x:c r="AC176" s="39"/>
      <x:c r="AD176" s="39"/>
      <x:c r="AE176" s="39"/>
      <x:c r="AF176" s="39"/>
      <x:c r="AG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  <x:c r="AA177" s="39"/>
      <x:c r="AB177" s="39"/>
      <x:c r="AC177" s="39"/>
      <x:c r="AD177" s="39"/>
      <x:c r="AE177" s="39"/>
      <x:c r="AF177" s="39"/>
      <x:c r="AG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  <x:c r="AA178" s="39"/>
      <x:c r="AB178" s="39"/>
      <x:c r="AC178" s="39"/>
      <x:c r="AD178" s="39"/>
      <x:c r="AE178" s="39"/>
      <x:c r="AF178" s="39"/>
      <x:c r="AG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  <x:c r="AA179" s="39"/>
      <x:c r="AB179" s="39"/>
      <x:c r="AC179" s="39"/>
      <x:c r="AD179" s="39"/>
      <x:c r="AE179" s="39"/>
      <x:c r="AF179" s="39"/>
      <x:c r="AG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  <x:c r="AA180" s="39"/>
      <x:c r="AB180" s="39"/>
      <x:c r="AC180" s="39"/>
      <x:c r="AD180" s="39"/>
      <x:c r="AE180" s="39"/>
      <x:c r="AF180" s="39"/>
      <x:c r="AG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  <x:c r="AA181" s="39"/>
      <x:c r="AB181" s="39"/>
      <x:c r="AC181" s="39"/>
      <x:c r="AD181" s="39"/>
      <x:c r="AE181" s="39"/>
      <x:c r="AF181" s="39"/>
      <x:c r="AG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  <x:c r="AA182" s="39"/>
      <x:c r="AB182" s="39"/>
      <x:c r="AC182" s="39"/>
      <x:c r="AD182" s="39"/>
      <x:c r="AE182" s="39"/>
      <x:c r="AF182" s="39"/>
      <x:c r="AG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  <x:c r="AA183" s="39"/>
      <x:c r="AB183" s="39"/>
      <x:c r="AC183" s="39"/>
      <x:c r="AD183" s="39"/>
      <x:c r="AE183" s="39"/>
      <x:c r="AF183" s="39"/>
      <x:c r="AG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  <x:c r="AA184" s="39"/>
      <x:c r="AB184" s="39"/>
      <x:c r="AC184" s="39"/>
      <x:c r="AD184" s="39"/>
      <x:c r="AE184" s="39"/>
      <x:c r="AF184" s="39"/>
      <x:c r="AG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  <x:c r="AA185" s="39"/>
      <x:c r="AB185" s="39"/>
      <x:c r="AC185" s="39"/>
      <x:c r="AD185" s="39"/>
      <x:c r="AE185" s="39"/>
      <x:c r="AF185" s="39"/>
      <x:c r="AG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  <x:c r="AA186" s="39"/>
      <x:c r="AB186" s="39"/>
      <x:c r="AC186" s="39"/>
      <x:c r="AD186" s="39"/>
      <x:c r="AE186" s="39"/>
      <x:c r="AF186" s="39"/>
      <x:c r="AG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  <x:c r="AA187" s="39"/>
      <x:c r="AB187" s="39"/>
      <x:c r="AC187" s="39"/>
      <x:c r="AD187" s="39"/>
      <x:c r="AE187" s="39"/>
      <x:c r="AF187" s="39"/>
      <x:c r="AG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  <x:c r="AA188" s="39"/>
      <x:c r="AB188" s="39"/>
      <x:c r="AC188" s="39"/>
      <x:c r="AD188" s="39"/>
      <x:c r="AE188" s="39"/>
      <x:c r="AF188" s="39"/>
      <x:c r="AG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  <x:c r="AA189" s="39"/>
      <x:c r="AB189" s="39"/>
      <x:c r="AC189" s="39"/>
      <x:c r="AD189" s="39"/>
      <x:c r="AE189" s="39"/>
      <x:c r="AF189" s="39"/>
      <x:c r="AG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  <x:c r="AA190" s="39"/>
      <x:c r="AB190" s="39"/>
      <x:c r="AC190" s="39"/>
      <x:c r="AD190" s="39"/>
      <x:c r="AE190" s="39"/>
      <x:c r="AF190" s="39"/>
      <x:c r="AG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  <x:c r="AA191" s="39"/>
      <x:c r="AB191" s="39"/>
      <x:c r="AC191" s="39"/>
      <x:c r="AD191" s="39"/>
      <x:c r="AE191" s="39"/>
      <x:c r="AF191" s="39"/>
      <x:c r="AG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  <x:c r="AA192" s="39"/>
      <x:c r="AB192" s="39"/>
      <x:c r="AC192" s="39"/>
      <x:c r="AD192" s="39"/>
      <x:c r="AE192" s="39"/>
      <x:c r="AF192" s="39"/>
      <x:c r="AG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  <x:c r="AA193" s="39"/>
      <x:c r="AB193" s="39"/>
      <x:c r="AC193" s="39"/>
      <x:c r="AD193" s="39"/>
      <x:c r="AE193" s="39"/>
      <x:c r="AF193" s="39"/>
      <x:c r="AG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  <x:c r="AA194" s="39"/>
      <x:c r="AB194" s="39"/>
      <x:c r="AC194" s="39"/>
      <x:c r="AD194" s="39"/>
      <x:c r="AE194" s="39"/>
      <x:c r="AF194" s="39"/>
      <x:c r="AG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  <x:c r="AA195" s="39"/>
      <x:c r="AB195" s="39"/>
      <x:c r="AC195" s="39"/>
      <x:c r="AD195" s="39"/>
      <x:c r="AE195" s="39"/>
      <x:c r="AF195" s="39"/>
      <x:c r="AG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  <x:c r="AA196" s="39"/>
      <x:c r="AB196" s="39"/>
      <x:c r="AC196" s="39"/>
      <x:c r="AD196" s="39"/>
      <x:c r="AE196" s="39"/>
      <x:c r="AF196" s="39"/>
      <x:c r="AG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  <x:c r="AA197" s="39"/>
      <x:c r="AB197" s="39"/>
      <x:c r="AC197" s="39"/>
      <x:c r="AD197" s="39"/>
      <x:c r="AE197" s="39"/>
      <x:c r="AF197" s="39"/>
      <x:c r="AG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  <x:c r="AA198" s="39"/>
      <x:c r="AB198" s="39"/>
      <x:c r="AC198" s="39"/>
      <x:c r="AD198" s="39"/>
      <x:c r="AE198" s="39"/>
      <x:c r="AF198" s="39"/>
      <x:c r="AG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  <x:c r="AA199" s="39"/>
      <x:c r="AB199" s="39"/>
      <x:c r="AC199" s="39"/>
      <x:c r="AD199" s="39"/>
      <x:c r="AE199" s="39"/>
      <x:c r="AF199" s="39"/>
      <x:c r="AG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  <x:c r="AA200" s="39"/>
      <x:c r="AB200" s="39"/>
      <x:c r="AC200" s="39"/>
      <x:c r="AD200" s="39"/>
      <x:c r="AE200" s="39"/>
      <x:c r="AF200" s="39"/>
      <x:c r="AG200" s="39"/>
    </x:row>
  </x:sheetData>
  <x:mergeCells>
    <x:mergeCell ref="A1:AD1"/>
  </x:mergeCells>
  <x:dataValidations count="3">
    <x:dataValidation type="list" sqref="B1">
      <x:formula1>Liste!$G$4:$G$12</x:formula1>
    </x:dataValidation>
    <x:dataValidation type="list" sqref="C1">
      <x:formula1>Liste!$H$4:$H$8</x:formula1>
    </x:dataValidation>
    <x:dataValidation type="list" sqref="D1">
      <x:formula1>Liste!$I$4:$I$10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dd2c1714f948a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8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22" hidden="0" customWidth="1"/>
    <x:col min="11" max="11" width="22" hidden="0" customWidth="1"/>
    <x:col min="12" max="12" width="36" hidden="0" customWidth="1"/>
  </x:cols>
  <x:sheetData>
    <x:row r="1" ht="28" customHeight="1">
      <x:c r="A1" s="158" t="str">
        <x:v>Acquisizione interna Metrics — costo acquisizione cliente</x:v>
      </x:c>
      <x:c r="B1" s="159"/>
      <x:c r="C1" s="159"/>
      <x:c r="D1" s="162"/>
      <x:c r="E1" s="163"/>
      <x:c r="F1" s="162"/>
      <x:c r="G1" s="162"/>
      <x:c r="H1" s="162"/>
      <x:c r="I1" s="162"/>
      <x:c r="J1" s="162"/>
      <x:c r="K1" s="162"/>
      <x:c r="L1" s="159"/>
      <x:c r="M1" s="159"/>
      <x:c r="N1" s="159"/>
      <x:c r="O1" s="159"/>
      <x:c r="P1" s="159"/>
      <x:c r="Q1" s="159"/>
      <x:c r="R1" s="159"/>
      <x:c r="S1" s="159"/>
      <x:c r="T1" s="159"/>
      <x:c r="U1" s="159"/>
      <x:c r="V1" s="159"/>
      <x:c r="W1" s="159"/>
      <x:c r="X1" s="159"/>
      <x:c r="Y1" s="159"/>
      <x:c r="Z1" s="159"/>
      <x:c r="AA1" s="39"/>
      <x:c r="AB1" s="39"/>
      <x:c r="AC1" s="39"/>
      <x:c r="AD1" s="39"/>
      <x:c r="AE1" s="39"/>
      <x:c r="AF1" s="39"/>
      <x:c r="AG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</x:row>
    <x:row r="3" ht="28" customHeight="1">
      <x:c r="A3" s="202" t="str">
        <x:v>Periodo</x:v>
      </x:c>
      <x:c r="B3" s="202" t="str">
        <x:v>Proposte inviate</x:v>
      </x:c>
      <x:c r="C3" s="202" t="str">
        <x:v>Clienti chiusi</x:v>
      </x:c>
      <x:c r="D3" s="202" t="str">
        <x:v>Costo Jessica acquisizione</x:v>
      </x:c>
      <x:c r="E3" s="202" t="str">
        <x:v>Ore call vendita Fabio</x:v>
      </x:c>
      <x:c r="F3" s="202" t="str">
        <x:v>Valore orario Fabio</x:v>
      </x:c>
      <x:c r="G3" s="202" t="str">
        <x:v>Costo tempo vendita Fabio</x:v>
      </x:c>
      <x:c r="H3" s="202" t="str">
        <x:v>Altri costi acquisizione</x:v>
      </x:c>
      <x:c r="I3" s="202" t="str">
        <x:v>Valore primo contratto</x:v>
      </x:c>
      <x:c r="J3" s="202" t="str">
        <x:v>Costo acquisizione cliente</x:v>
      </x:c>
      <x:c r="K3" s="202" t="str">
        <x:v>Margine primo contratto</x:v>
      </x:c>
      <x:c r="L3" s="202" t="str">
        <x:v>Note</x:v>
      </x:c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  <x:c r="AA3" s="39"/>
      <x:c r="AB3" s="39"/>
      <x:c r="AC3" s="39"/>
      <x:c r="AD3" s="39"/>
      <x:c r="AE3" s="39"/>
      <x:c r="AF3" s="39"/>
      <x:c r="AG3" s="39"/>
    </x:row>
    <x:row r="4">
      <x:c r="A4" s="197" t="str">
        <x:v>2026-06</x:v>
      </x:c>
      <x:c r="B4" s="197" t="n">
        <x:v>0</x:v>
      </x:c>
      <x:c r="C4" s="197" t="n">
        <x:v>0</x:v>
      </x:c>
      <x:c r="D4" s="198" t="n">
        <x:f>C4*Impostazioni!$B$11</x:f>
        <x:v>0</x:v>
      </x:c>
      <x:c r="E4" s="197" t="n">
        <x:v>5</x:v>
      </x:c>
      <x:c r="F4" s="198" t="n">
        <x:f>Impostazioni!$B$4</x:f>
        <x:v>40</x:v>
      </x:c>
      <x:c r="G4" s="198" t="n">
        <x:f>E4*F4</x:f>
        <x:v>200</x:v>
      </x:c>
      <x:c r="H4" s="197" t="str"/>
      <x:c r="I4" s="197" t="n">
        <x:v>0</x:v>
      </x:c>
      <x:c r="J4" s="198" t="n">
        <x:f>D4+G4+H4</x:f>
        <x:v>200</x:v>
      </x:c>
      <x:c r="K4" s="198" t="n">
        <x:f>I4-J4</x:f>
        <x:v>-200</x:v>
      </x:c>
      <x:c r="L4" s="197" t="str">
        <x:v>Template modificabile</x:v>
      </x:c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  <x:c r="AA4" s="39"/>
      <x:c r="AB4" s="39"/>
      <x:c r="AC4" s="39"/>
      <x:c r="AD4" s="39"/>
      <x:c r="AE4" s="39"/>
      <x:c r="AF4" s="39"/>
      <x:c r="AG4" s="39"/>
    </x:row>
    <x:row r="5">
      <x:c r="A5" s="197" t="str">
        <x:v>2026-07</x:v>
      </x:c>
      <x:c r="B5" s="197" t="n">
        <x:v>0</x:v>
      </x:c>
      <x:c r="C5" s="197" t="n">
        <x:v>0</x:v>
      </x:c>
      <x:c r="D5" s="198" t="n">
        <x:f>C5*Impostazioni!$B$11</x:f>
        <x:v>0</x:v>
      </x:c>
      <x:c r="E5" s="197" t="n">
        <x:v>0</x:v>
      </x:c>
      <x:c r="F5" s="198" t="n">
        <x:f>Impostazioni!$B$4</x:f>
        <x:v>40</x:v>
      </x:c>
      <x:c r="G5" s="198" t="n">
        <x:f>E5*F5</x:f>
        <x:v>0</x:v>
      </x:c>
      <x:c r="H5" s="197" t="str"/>
      <x:c r="I5" s="197" t="n">
        <x:v>0</x:v>
      </x:c>
      <x:c r="J5" s="198" t="n">
        <x:f>D5+G5+H5</x:f>
        <x:v>0</x:v>
      </x:c>
      <x:c r="K5" s="198" t="n">
        <x:f>I5-J5</x:f>
        <x:v>0</x:v>
      </x:c>
      <x:c r="L5" s="197" t="str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  <x:c r="AA5" s="39"/>
      <x:c r="AB5" s="39"/>
      <x:c r="AC5" s="39"/>
      <x:c r="AD5" s="39"/>
      <x:c r="AE5" s="39"/>
      <x:c r="AF5" s="39"/>
      <x:c r="AG5" s="39"/>
    </x:row>
    <x:row r="6">
      <x:c r="A6" s="197" t="str">
        <x:v>2026-08</x:v>
      </x:c>
      <x:c r="B6" s="197" t="n">
        <x:v>0</x:v>
      </x:c>
      <x:c r="C6" s="197" t="n">
        <x:v>0</x:v>
      </x:c>
      <x:c r="D6" s="198" t="n">
        <x:f>C6*Impostazioni!$B$11</x:f>
        <x:v>0</x:v>
      </x:c>
      <x:c r="E6" s="197" t="n">
        <x:v>0</x:v>
      </x:c>
      <x:c r="F6" s="198" t="n">
        <x:f>Impostazioni!$B$4</x:f>
        <x:v>40</x:v>
      </x:c>
      <x:c r="G6" s="198" t="n">
        <x:f>E6*F6</x:f>
        <x:v>0</x:v>
      </x:c>
      <x:c r="H6" s="197" t="str"/>
      <x:c r="I6" s="197" t="n">
        <x:v>0</x:v>
      </x:c>
      <x:c r="J6" s="198" t="n">
        <x:f>D6+G6+H6</x:f>
        <x:v>0</x:v>
      </x:c>
      <x:c r="K6" s="198" t="n">
        <x:f>I6-J6</x:f>
        <x:v>0</x:v>
      </x:c>
      <x:c r="L6" s="197" t="str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  <x:c r="AA6" s="39"/>
      <x:c r="AB6" s="39"/>
      <x:c r="AC6" s="39"/>
      <x:c r="AD6" s="39"/>
      <x:c r="AE6" s="39"/>
      <x:c r="AF6" s="39"/>
      <x:c r="AG6" s="39"/>
    </x:row>
    <x:row r="7">
      <x:c r="A7" s="197"/>
      <x:c r="B7" s="197"/>
      <x:c r="C7" s="197"/>
      <x:c r="D7" s="198" t="n">
        <x:f>C7*Impostazioni!$B$11</x:f>
        <x:v>0</x:v>
      </x:c>
      <x:c r="E7" s="197"/>
      <x:c r="F7" s="198" t="n">
        <x:f>Impostazioni!$B$4</x:f>
        <x:v>40</x:v>
      </x:c>
      <x:c r="G7" s="198" t="n">
        <x:f>E7*F7</x:f>
        <x:v>0</x:v>
      </x:c>
      <x:c r="H7" s="197"/>
      <x:c r="I7" s="197"/>
      <x:c r="J7" s="198" t="n">
        <x:f>D7+G7+H7</x:f>
        <x:v>0</x:v>
      </x:c>
      <x:c r="K7" s="198" t="n">
        <x:f>I7-J7</x:f>
        <x:v>0</x:v>
      </x:c>
      <x:c r="L7" s="197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  <x:c r="AA7" s="39"/>
      <x:c r="AB7" s="39"/>
      <x:c r="AC7" s="39"/>
      <x:c r="AD7" s="39"/>
      <x:c r="AE7" s="39"/>
      <x:c r="AF7" s="39"/>
      <x:c r="AG7" s="39"/>
    </x:row>
    <x:row r="8">
      <x:c r="A8" s="197"/>
      <x:c r="B8" s="197"/>
      <x:c r="C8" s="197"/>
      <x:c r="D8" s="198" t="n">
        <x:f>C8*Impostazioni!$B$11</x:f>
        <x:v>0</x:v>
      </x:c>
      <x:c r="E8" s="197"/>
      <x:c r="F8" s="198" t="n">
        <x:f>Impostazioni!$B$4</x:f>
        <x:v>40</x:v>
      </x:c>
      <x:c r="G8" s="198" t="n">
        <x:f>E8*F8</x:f>
        <x:v>0</x:v>
      </x:c>
      <x:c r="H8" s="197"/>
      <x:c r="I8" s="197"/>
      <x:c r="J8" s="198" t="n">
        <x:f>D8+G8+H8</x:f>
        <x:v>0</x:v>
      </x:c>
      <x:c r="K8" s="198" t="n">
        <x:f>I8-J8</x:f>
        <x:v>0</x:v>
      </x:c>
      <x:c r="L8" s="197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  <x:c r="AA8" s="39"/>
      <x:c r="AB8" s="39"/>
      <x:c r="AC8" s="39"/>
      <x:c r="AD8" s="39"/>
      <x:c r="AE8" s="39"/>
      <x:c r="AF8" s="39"/>
      <x:c r="AG8" s="39"/>
    </x:row>
    <x:row r="9">
      <x:c r="A9" s="197"/>
      <x:c r="B9" s="197"/>
      <x:c r="C9" s="197"/>
      <x:c r="D9" s="198" t="n">
        <x:f>C9*Impostazioni!$B$11</x:f>
        <x:v>0</x:v>
      </x:c>
      <x:c r="E9" s="197"/>
      <x:c r="F9" s="198" t="n">
        <x:f>Impostazioni!$B$4</x:f>
        <x:v>40</x:v>
      </x:c>
      <x:c r="G9" s="198" t="n">
        <x:f>E9*F9</x:f>
        <x:v>0</x:v>
      </x:c>
      <x:c r="H9" s="197"/>
      <x:c r="I9" s="197"/>
      <x:c r="J9" s="198" t="n">
        <x:f>D9+G9+H9</x:f>
        <x:v>0</x:v>
      </x:c>
      <x:c r="K9" s="198" t="n">
        <x:f>I9-J9</x:f>
        <x:v>0</x:v>
      </x:c>
      <x:c r="L9" s="197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  <x:c r="AA9" s="39"/>
      <x:c r="AB9" s="39"/>
      <x:c r="AC9" s="39"/>
      <x:c r="AD9" s="39"/>
      <x:c r="AE9" s="39"/>
      <x:c r="AF9" s="39"/>
      <x:c r="AG9" s="39"/>
    </x:row>
    <x:row r="10">
      <x:c r="A10" s="197"/>
      <x:c r="B10" s="197"/>
      <x:c r="C10" s="197"/>
      <x:c r="D10" s="198" t="n">
        <x:f>C10*Impostazioni!$B$11</x:f>
        <x:v>0</x:v>
      </x:c>
      <x:c r="E10" s="197"/>
      <x:c r="F10" s="198" t="n">
        <x:f>Impostazioni!$B$4</x:f>
        <x:v>40</x:v>
      </x:c>
      <x:c r="G10" s="198" t="n">
        <x:f>E10*F10</x:f>
        <x:v>0</x:v>
      </x:c>
      <x:c r="H10" s="197"/>
      <x:c r="I10" s="197"/>
      <x:c r="J10" s="198" t="n">
        <x:f>D10+G10+H10</x:f>
        <x:v>0</x:v>
      </x:c>
      <x:c r="K10" s="198" t="n">
        <x:f>I10-J10</x:f>
        <x:v>0</x:v>
      </x:c>
      <x:c r="L10" s="197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  <x:c r="AA10" s="39"/>
      <x:c r="AB10" s="39"/>
      <x:c r="AC10" s="39"/>
      <x:c r="AD10" s="39"/>
      <x:c r="AE10" s="39"/>
      <x:c r="AF10" s="39"/>
      <x:c r="AG10" s="39"/>
    </x:row>
    <x:row r="11">
      <x:c r="A11" s="197"/>
      <x:c r="B11" s="197"/>
      <x:c r="C11" s="197"/>
      <x:c r="D11" s="198" t="n">
        <x:f>C11*Impostazioni!$B$11</x:f>
        <x:v>0</x:v>
      </x:c>
      <x:c r="E11" s="197"/>
      <x:c r="F11" s="198" t="n">
        <x:f>Impostazioni!$B$4</x:f>
        <x:v>40</x:v>
      </x:c>
      <x:c r="G11" s="198" t="n">
        <x:f>E11*F11</x:f>
        <x:v>0</x:v>
      </x:c>
      <x:c r="H11" s="197"/>
      <x:c r="I11" s="197"/>
      <x:c r="J11" s="198" t="n">
        <x:f>D11+G11+H11</x:f>
        <x:v>0</x:v>
      </x:c>
      <x:c r="K11" s="198" t="n">
        <x:f>I11-J11</x:f>
        <x:v>0</x:v>
      </x:c>
      <x:c r="L11" s="197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  <x:c r="AB11" s="39"/>
      <x:c r="AC11" s="39"/>
      <x:c r="AD11" s="39"/>
      <x:c r="AE11" s="39"/>
      <x:c r="AF11" s="39"/>
      <x:c r="AG11" s="39"/>
    </x:row>
    <x:row r="12">
      <x:c r="A12" s="197"/>
      <x:c r="B12" s="197"/>
      <x:c r="C12" s="197"/>
      <x:c r="D12" s="198" t="n">
        <x:f>C12*Impostazioni!$B$11</x:f>
        <x:v>0</x:v>
      </x:c>
      <x:c r="E12" s="197"/>
      <x:c r="F12" s="198" t="n">
        <x:f>Impostazioni!$B$4</x:f>
        <x:v>40</x:v>
      </x:c>
      <x:c r="G12" s="198" t="n">
        <x:f>E12*F12</x:f>
        <x:v>0</x:v>
      </x:c>
      <x:c r="H12" s="197"/>
      <x:c r="I12" s="197"/>
      <x:c r="J12" s="198" t="n">
        <x:f>D12+G12+H12</x:f>
        <x:v>0</x:v>
      </x:c>
      <x:c r="K12" s="198" t="n">
        <x:f>I12-J12</x:f>
        <x:v>0</x:v>
      </x:c>
      <x:c r="L12" s="197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  <x:c r="AA12" s="39"/>
      <x:c r="AB12" s="39"/>
      <x:c r="AC12" s="39"/>
      <x:c r="AD12" s="39"/>
      <x:c r="AE12" s="39"/>
      <x:c r="AF12" s="39"/>
      <x:c r="AG12" s="39"/>
    </x:row>
    <x:row r="13">
      <x:c r="A13" s="197"/>
      <x:c r="B13" s="197"/>
      <x:c r="C13" s="197"/>
      <x:c r="D13" s="198" t="n">
        <x:f>C13*Impostazioni!$B$11</x:f>
        <x:v>0</x:v>
      </x:c>
      <x:c r="E13" s="197"/>
      <x:c r="F13" s="198" t="n">
        <x:f>Impostazioni!$B$4</x:f>
        <x:v>40</x:v>
      </x:c>
      <x:c r="G13" s="198" t="n">
        <x:f>E13*F13</x:f>
        <x:v>0</x:v>
      </x:c>
      <x:c r="H13" s="197"/>
      <x:c r="I13" s="197"/>
      <x:c r="J13" s="198" t="n">
        <x:f>D13+G13+H13</x:f>
        <x:v>0</x:v>
      </x:c>
      <x:c r="K13" s="198" t="n">
        <x:f>I13-J13</x:f>
        <x:v>0</x:v>
      </x:c>
      <x:c r="L13" s="197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  <x:c r="AA13" s="39"/>
      <x:c r="AB13" s="39"/>
      <x:c r="AC13" s="39"/>
      <x:c r="AD13" s="39"/>
      <x:c r="AE13" s="39"/>
      <x:c r="AF13" s="39"/>
      <x:c r="AG13" s="39"/>
    </x:row>
    <x:row r="14">
      <x:c r="A14" s="197"/>
      <x:c r="B14" s="197"/>
      <x:c r="C14" s="197"/>
      <x:c r="D14" s="198" t="n">
        <x:f>C14*Impostazioni!$B$11</x:f>
        <x:v>0</x:v>
      </x:c>
      <x:c r="E14" s="197"/>
      <x:c r="F14" s="198" t="n">
        <x:f>Impostazioni!$B$4</x:f>
        <x:v>40</x:v>
      </x:c>
      <x:c r="G14" s="198" t="n">
        <x:f>E14*F14</x:f>
        <x:v>0</x:v>
      </x:c>
      <x:c r="H14" s="197"/>
      <x:c r="I14" s="197"/>
      <x:c r="J14" s="198" t="n">
        <x:f>D14+G14+H14</x:f>
        <x:v>0</x:v>
      </x:c>
      <x:c r="K14" s="198" t="n">
        <x:f>I14-J14</x:f>
        <x:v>0</x:v>
      </x:c>
      <x:c r="L14" s="197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  <x:c r="AA14" s="39"/>
      <x:c r="AB14" s="39"/>
      <x:c r="AC14" s="39"/>
      <x:c r="AD14" s="39"/>
      <x:c r="AE14" s="39"/>
      <x:c r="AF14" s="39"/>
      <x:c r="AG14" s="39"/>
    </x:row>
    <x:row r="15">
      <x:c r="A15" s="197"/>
      <x:c r="B15" s="197"/>
      <x:c r="C15" s="197"/>
      <x:c r="D15" s="198" t="n">
        <x:f>C15*Impostazioni!$B$11</x:f>
        <x:v>0</x:v>
      </x:c>
      <x:c r="E15" s="197"/>
      <x:c r="F15" s="198" t="n">
        <x:f>Impostazioni!$B$4</x:f>
        <x:v>40</x:v>
      </x:c>
      <x:c r="G15" s="198" t="n">
        <x:f>E15*F15</x:f>
        <x:v>0</x:v>
      </x:c>
      <x:c r="H15" s="197"/>
      <x:c r="I15" s="197"/>
      <x:c r="J15" s="198" t="n">
        <x:f>D15+G15+H15</x:f>
        <x:v>0</x:v>
      </x:c>
      <x:c r="K15" s="198" t="n">
        <x:f>I15-J15</x:f>
        <x:v>0</x:v>
      </x:c>
      <x:c r="L15" s="197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  <x:c r="AA15" s="39"/>
      <x:c r="AB15" s="39"/>
      <x:c r="AC15" s="39"/>
      <x:c r="AD15" s="39"/>
      <x:c r="AE15" s="39"/>
      <x:c r="AF15" s="39"/>
      <x:c r="AG15" s="39"/>
    </x:row>
    <x:row r="16">
      <x:c r="A16" s="197"/>
      <x:c r="B16" s="197"/>
      <x:c r="C16" s="197"/>
      <x:c r="D16" s="198" t="n">
        <x:f>C16*Impostazioni!$B$11</x:f>
        <x:v>0</x:v>
      </x:c>
      <x:c r="E16" s="197"/>
      <x:c r="F16" s="198" t="n">
        <x:f>Impostazioni!$B$4</x:f>
        <x:v>40</x:v>
      </x:c>
      <x:c r="G16" s="198" t="n">
        <x:f>E16*F16</x:f>
        <x:v>0</x:v>
      </x:c>
      <x:c r="H16" s="197"/>
      <x:c r="I16" s="197"/>
      <x:c r="J16" s="198" t="n">
        <x:f>D16+G16+H16</x:f>
        <x:v>0</x:v>
      </x:c>
      <x:c r="K16" s="198" t="n">
        <x:f>I16-J16</x:f>
        <x:v>0</x:v>
      </x:c>
      <x:c r="L16" s="197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  <x:c r="AA16" s="39"/>
      <x:c r="AB16" s="39"/>
      <x:c r="AC16" s="39"/>
      <x:c r="AD16" s="39"/>
      <x:c r="AE16" s="39"/>
      <x:c r="AF16" s="39"/>
      <x:c r="AG16" s="39"/>
    </x:row>
    <x:row r="17">
      <x:c r="A17" s="197"/>
      <x:c r="B17" s="197"/>
      <x:c r="C17" s="197"/>
      <x:c r="D17" s="198" t="n">
        <x:f>C17*Impostazioni!$B$11</x:f>
        <x:v>0</x:v>
      </x:c>
      <x:c r="E17" s="197"/>
      <x:c r="F17" s="198" t="n">
        <x:f>Impostazioni!$B$4</x:f>
        <x:v>40</x:v>
      </x:c>
      <x:c r="G17" s="198" t="n">
        <x:f>E17*F17</x:f>
        <x:v>0</x:v>
      </x:c>
      <x:c r="H17" s="197"/>
      <x:c r="I17" s="197"/>
      <x:c r="J17" s="198" t="n">
        <x:f>D17+G17+H17</x:f>
        <x:v>0</x:v>
      </x:c>
      <x:c r="K17" s="198" t="n">
        <x:f>I17-J17</x:f>
        <x:v>0</x:v>
      </x:c>
      <x:c r="L17" s="197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  <x:c r="AA17" s="39"/>
      <x:c r="AB17" s="39"/>
      <x:c r="AC17" s="39"/>
      <x:c r="AD17" s="39"/>
      <x:c r="AE17" s="39"/>
      <x:c r="AF17" s="39"/>
      <x:c r="AG17" s="39"/>
    </x:row>
    <x:row r="18">
      <x:c r="A18" s="197"/>
      <x:c r="B18" s="197"/>
      <x:c r="C18" s="197"/>
      <x:c r="D18" s="198" t="n">
        <x:f>C18*Impostazioni!$B$11</x:f>
        <x:v>0</x:v>
      </x:c>
      <x:c r="E18" s="197"/>
      <x:c r="F18" s="198" t="n">
        <x:f>Impostazioni!$B$4</x:f>
        <x:v>40</x:v>
      </x:c>
      <x:c r="G18" s="198" t="n">
        <x:f>E18*F18</x:f>
        <x:v>0</x:v>
      </x:c>
      <x:c r="H18" s="197"/>
      <x:c r="I18" s="197"/>
      <x:c r="J18" s="198" t="n">
        <x:f>D18+G18+H18</x:f>
        <x:v>0</x:v>
      </x:c>
      <x:c r="K18" s="198" t="n">
        <x:f>I18-J18</x:f>
        <x:v>0</x:v>
      </x:c>
      <x:c r="L18" s="197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  <x:c r="AA18" s="39"/>
      <x:c r="AB18" s="39"/>
      <x:c r="AC18" s="39"/>
      <x:c r="AD18" s="39"/>
      <x:c r="AE18" s="39"/>
      <x:c r="AF18" s="39"/>
      <x:c r="AG18" s="39"/>
    </x:row>
    <x:row r="19">
      <x:c r="A19" s="197"/>
      <x:c r="B19" s="197"/>
      <x:c r="C19" s="197"/>
      <x:c r="D19" s="198" t="n">
        <x:f>C19*Impostazioni!$B$11</x:f>
        <x:v>0</x:v>
      </x:c>
      <x:c r="E19" s="197"/>
      <x:c r="F19" s="198" t="n">
        <x:f>Impostazioni!$B$4</x:f>
        <x:v>40</x:v>
      </x:c>
      <x:c r="G19" s="198" t="n">
        <x:f>E19*F19</x:f>
        <x:v>0</x:v>
      </x:c>
      <x:c r="H19" s="197"/>
      <x:c r="I19" s="197"/>
      <x:c r="J19" s="198" t="n">
        <x:f>D19+G19+H19</x:f>
        <x:v>0</x:v>
      </x:c>
      <x:c r="K19" s="198" t="n">
        <x:f>I19-J19</x:f>
        <x:v>0</x:v>
      </x:c>
      <x:c r="L19" s="197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  <x:c r="AA19" s="39"/>
      <x:c r="AB19" s="39"/>
      <x:c r="AC19" s="39"/>
      <x:c r="AD19" s="39"/>
      <x:c r="AE19" s="39"/>
      <x:c r="AF19" s="39"/>
      <x:c r="AG19" s="39"/>
    </x:row>
    <x:row r="20">
      <x:c r="A20" s="197"/>
      <x:c r="B20" s="197"/>
      <x:c r="C20" s="197"/>
      <x:c r="D20" s="198" t="n">
        <x:f>C20*Impostazioni!$B$11</x:f>
        <x:v>0</x:v>
      </x:c>
      <x:c r="E20" s="197"/>
      <x:c r="F20" s="198" t="n">
        <x:f>Impostazioni!$B$4</x:f>
        <x:v>40</x:v>
      </x:c>
      <x:c r="G20" s="198" t="n">
        <x:f>E20*F20</x:f>
        <x:v>0</x:v>
      </x:c>
      <x:c r="H20" s="197"/>
      <x:c r="I20" s="197"/>
      <x:c r="J20" s="198" t="n">
        <x:f>D20+G20+H20</x:f>
        <x:v>0</x:v>
      </x:c>
      <x:c r="K20" s="198" t="n">
        <x:f>I20-J20</x:f>
        <x:v>0</x:v>
      </x:c>
      <x:c r="L20" s="197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  <x:c r="AA20" s="39"/>
      <x:c r="AB20" s="39"/>
      <x:c r="AC20" s="39"/>
      <x:c r="AD20" s="39"/>
      <x:c r="AE20" s="39"/>
      <x:c r="AF20" s="39"/>
      <x:c r="AG20" s="39"/>
    </x:row>
    <x:row r="21">
      <x:c r="A21" s="197"/>
      <x:c r="B21" s="197"/>
      <x:c r="C21" s="197"/>
      <x:c r="D21" s="198" t="n">
        <x:f>C21*Impostazioni!$B$11</x:f>
        <x:v>0</x:v>
      </x:c>
      <x:c r="E21" s="197"/>
      <x:c r="F21" s="198" t="n">
        <x:f>Impostazioni!$B$4</x:f>
        <x:v>40</x:v>
      </x:c>
      <x:c r="G21" s="198" t="n">
        <x:f>E21*F21</x:f>
        <x:v>0</x:v>
      </x:c>
      <x:c r="H21" s="197"/>
      <x:c r="I21" s="197"/>
      <x:c r="J21" s="198" t="n">
        <x:f>D21+G21+H21</x:f>
        <x:v>0</x:v>
      </x:c>
      <x:c r="K21" s="198" t="n">
        <x:f>I21-J21</x:f>
        <x:v>0</x:v>
      </x:c>
      <x:c r="L21" s="197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  <x:c r="AA21" s="39"/>
      <x:c r="AB21" s="39"/>
      <x:c r="AC21" s="39"/>
      <x:c r="AD21" s="39"/>
      <x:c r="AE21" s="39"/>
      <x:c r="AF21" s="39"/>
      <x:c r="AG21" s="39"/>
    </x:row>
    <x:row r="22">
      <x:c r="A22" s="197"/>
      <x:c r="B22" s="197"/>
      <x:c r="C22" s="197"/>
      <x:c r="D22" s="198" t="n">
        <x:f>C22*Impostazioni!$B$11</x:f>
        <x:v>0</x:v>
      </x:c>
      <x:c r="E22" s="197"/>
      <x:c r="F22" s="198" t="n">
        <x:f>Impostazioni!$B$4</x:f>
        <x:v>40</x:v>
      </x:c>
      <x:c r="G22" s="198" t="n">
        <x:f>E22*F22</x:f>
        <x:v>0</x:v>
      </x:c>
      <x:c r="H22" s="197"/>
      <x:c r="I22" s="197"/>
      <x:c r="J22" s="198" t="n">
        <x:f>D22+G22+H22</x:f>
        <x:v>0</x:v>
      </x:c>
      <x:c r="K22" s="198" t="n">
        <x:f>I22-J22</x:f>
        <x:v>0</x:v>
      </x:c>
      <x:c r="L22" s="197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  <x:c r="AA22" s="39"/>
      <x:c r="AB22" s="39"/>
      <x:c r="AC22" s="39"/>
      <x:c r="AD22" s="39"/>
      <x:c r="AE22" s="39"/>
      <x:c r="AF22" s="39"/>
      <x:c r="AG22" s="39"/>
    </x:row>
    <x:row r="23">
      <x:c r="A23" s="197"/>
      <x:c r="B23" s="197"/>
      <x:c r="C23" s="197"/>
      <x:c r="D23" s="198" t="n">
        <x:f>C23*Impostazioni!$B$11</x:f>
        <x:v>0</x:v>
      </x:c>
      <x:c r="E23" s="197"/>
      <x:c r="F23" s="198" t="n">
        <x:f>Impostazioni!$B$4</x:f>
        <x:v>40</x:v>
      </x:c>
      <x:c r="G23" s="198" t="n">
        <x:f>E23*F23</x:f>
        <x:v>0</x:v>
      </x:c>
      <x:c r="H23" s="197"/>
      <x:c r="I23" s="197"/>
      <x:c r="J23" s="198" t="n">
        <x:f>D23+G23+H23</x:f>
        <x:v>0</x:v>
      </x:c>
      <x:c r="K23" s="198" t="n">
        <x:f>I23-J23</x:f>
        <x:v>0</x:v>
      </x:c>
      <x:c r="L23" s="197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  <x:c r="AA23" s="39"/>
      <x:c r="AB23" s="39"/>
      <x:c r="AC23" s="39"/>
      <x:c r="AD23" s="39"/>
      <x:c r="AE23" s="39"/>
      <x:c r="AF23" s="39"/>
      <x:c r="AG23" s="39"/>
    </x:row>
    <x:row r="24">
      <x:c r="A24" s="197"/>
      <x:c r="B24" s="197"/>
      <x:c r="C24" s="197"/>
      <x:c r="D24" s="198" t="n">
        <x:f>C24*Impostazioni!$B$11</x:f>
        <x:v>0</x:v>
      </x:c>
      <x:c r="E24" s="197"/>
      <x:c r="F24" s="198" t="n">
        <x:f>Impostazioni!$B$4</x:f>
        <x:v>40</x:v>
      </x:c>
      <x:c r="G24" s="198" t="n">
        <x:f>E24*F24</x:f>
        <x:v>0</x:v>
      </x:c>
      <x:c r="H24" s="197"/>
      <x:c r="I24" s="197"/>
      <x:c r="J24" s="198" t="n">
        <x:f>D24+G24+H24</x:f>
        <x:v>0</x:v>
      </x:c>
      <x:c r="K24" s="198" t="n">
        <x:f>I24-J24</x:f>
        <x:v>0</x:v>
      </x:c>
      <x:c r="L24" s="197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  <x:c r="AA24" s="39"/>
      <x:c r="AB24" s="39"/>
      <x:c r="AC24" s="39"/>
      <x:c r="AD24" s="39"/>
      <x:c r="AE24" s="39"/>
      <x:c r="AF24" s="39"/>
      <x:c r="AG24" s="39"/>
    </x:row>
    <x:row r="25">
      <x:c r="A25" s="197"/>
      <x:c r="B25" s="197"/>
      <x:c r="C25" s="197"/>
      <x:c r="D25" s="198" t="n">
        <x:f>C25*Impostazioni!$B$11</x:f>
        <x:v>0</x:v>
      </x:c>
      <x:c r="E25" s="197"/>
      <x:c r="F25" s="198" t="n">
        <x:f>Impostazioni!$B$4</x:f>
        <x:v>40</x:v>
      </x:c>
      <x:c r="G25" s="198" t="n">
        <x:f>E25*F25</x:f>
        <x:v>0</x:v>
      </x:c>
      <x:c r="H25" s="197"/>
      <x:c r="I25" s="197"/>
      <x:c r="J25" s="198" t="n">
        <x:f>D25+G25+H25</x:f>
        <x:v>0</x:v>
      </x:c>
      <x:c r="K25" s="198" t="n">
        <x:f>I25-J25</x:f>
        <x:v>0</x:v>
      </x:c>
      <x:c r="L25" s="197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  <x:c r="AA25" s="39"/>
      <x:c r="AB25" s="39"/>
      <x:c r="AC25" s="39"/>
      <x:c r="AD25" s="39"/>
      <x:c r="AE25" s="39"/>
      <x:c r="AF25" s="39"/>
      <x:c r="AG25" s="39"/>
    </x:row>
    <x:row r="26">
      <x:c r="A26" s="197"/>
      <x:c r="B26" s="197"/>
      <x:c r="C26" s="197"/>
      <x:c r="D26" s="198" t="n">
        <x:f>C26*Impostazioni!$B$11</x:f>
        <x:v>0</x:v>
      </x:c>
      <x:c r="E26" s="197"/>
      <x:c r="F26" s="198" t="n">
        <x:f>Impostazioni!$B$4</x:f>
        <x:v>40</x:v>
      </x:c>
      <x:c r="G26" s="198" t="n">
        <x:f>E26*F26</x:f>
        <x:v>0</x:v>
      </x:c>
      <x:c r="H26" s="197"/>
      <x:c r="I26" s="197"/>
      <x:c r="J26" s="198" t="n">
        <x:f>D26+G26+H26</x:f>
        <x:v>0</x:v>
      </x:c>
      <x:c r="K26" s="198" t="n">
        <x:f>I26-J26</x:f>
        <x:v>0</x:v>
      </x:c>
      <x:c r="L26" s="197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  <x:c r="AA26" s="39"/>
      <x:c r="AB26" s="39"/>
      <x:c r="AC26" s="39"/>
      <x:c r="AD26" s="39"/>
      <x:c r="AE26" s="39"/>
      <x:c r="AF26" s="39"/>
      <x:c r="AG26" s="39"/>
    </x:row>
    <x:row r="27">
      <x:c r="A27" s="197"/>
      <x:c r="B27" s="197"/>
      <x:c r="C27" s="197"/>
      <x:c r="D27" s="198" t="n">
        <x:f>C27*Impostazioni!$B$11</x:f>
        <x:v>0</x:v>
      </x:c>
      <x:c r="E27" s="197"/>
      <x:c r="F27" s="198" t="n">
        <x:f>Impostazioni!$B$4</x:f>
        <x:v>40</x:v>
      </x:c>
      <x:c r="G27" s="198" t="n">
        <x:f>E27*F27</x:f>
        <x:v>0</x:v>
      </x:c>
      <x:c r="H27" s="197"/>
      <x:c r="I27" s="197"/>
      <x:c r="J27" s="198" t="n">
        <x:f>D27+G27+H27</x:f>
        <x:v>0</x:v>
      </x:c>
      <x:c r="K27" s="198" t="n">
        <x:f>I27-J27</x:f>
        <x:v>0</x:v>
      </x:c>
      <x:c r="L27" s="197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  <x:c r="AA27" s="39"/>
      <x:c r="AB27" s="39"/>
      <x:c r="AC27" s="39"/>
      <x:c r="AD27" s="39"/>
      <x:c r="AE27" s="39"/>
      <x:c r="AF27" s="39"/>
      <x:c r="AG27" s="39"/>
    </x:row>
    <x:row r="28">
      <x:c r="A28" s="197"/>
      <x:c r="B28" s="197"/>
      <x:c r="C28" s="197"/>
      <x:c r="D28" s="198" t="n">
        <x:f>C28*Impostazioni!$B$11</x:f>
        <x:v>0</x:v>
      </x:c>
      <x:c r="E28" s="197"/>
      <x:c r="F28" s="198" t="n">
        <x:f>Impostazioni!$B$4</x:f>
        <x:v>40</x:v>
      </x:c>
      <x:c r="G28" s="198" t="n">
        <x:f>E28*F28</x:f>
        <x:v>0</x:v>
      </x:c>
      <x:c r="H28" s="197"/>
      <x:c r="I28" s="197"/>
      <x:c r="J28" s="198" t="n">
        <x:f>D28+G28+H28</x:f>
        <x:v>0</x:v>
      </x:c>
      <x:c r="K28" s="198" t="n">
        <x:f>I28-J28</x:f>
        <x:v>0</x:v>
      </x:c>
      <x:c r="L28" s="197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  <x:c r="AA28" s="39"/>
      <x:c r="AB28" s="39"/>
      <x:c r="AC28" s="39"/>
      <x:c r="AD28" s="39"/>
      <x:c r="AE28" s="39"/>
      <x:c r="AF28" s="39"/>
      <x:c r="AG28" s="39"/>
    </x:row>
    <x:row r="29">
      <x:c r="A29" s="197"/>
      <x:c r="B29" s="197"/>
      <x:c r="C29" s="197"/>
      <x:c r="D29" s="198" t="n">
        <x:f>C29*Impostazioni!$B$11</x:f>
        <x:v>0</x:v>
      </x:c>
      <x:c r="E29" s="197"/>
      <x:c r="F29" s="198" t="n">
        <x:f>Impostazioni!$B$4</x:f>
        <x:v>40</x:v>
      </x:c>
      <x:c r="G29" s="198" t="n">
        <x:f>E29*F29</x:f>
        <x:v>0</x:v>
      </x:c>
      <x:c r="H29" s="197"/>
      <x:c r="I29" s="197"/>
      <x:c r="J29" s="198" t="n">
        <x:f>D29+G29+H29</x:f>
        <x:v>0</x:v>
      </x:c>
      <x:c r="K29" s="198" t="n">
        <x:f>I29-J29</x:f>
        <x:v>0</x:v>
      </x:c>
      <x:c r="L29" s="197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  <x:c r="AA29" s="39"/>
      <x:c r="AB29" s="39"/>
      <x:c r="AC29" s="39"/>
      <x:c r="AD29" s="39"/>
      <x:c r="AE29" s="39"/>
      <x:c r="AF29" s="39"/>
      <x:c r="AG29" s="39"/>
    </x:row>
    <x:row r="30">
      <x:c r="A30" s="197"/>
      <x:c r="B30" s="197"/>
      <x:c r="C30" s="197"/>
      <x:c r="D30" s="198" t="n">
        <x:f>C30*Impostazioni!$B$11</x:f>
        <x:v>0</x:v>
      </x:c>
      <x:c r="E30" s="197"/>
      <x:c r="F30" s="198" t="n">
        <x:f>Impostazioni!$B$4</x:f>
        <x:v>40</x:v>
      </x:c>
      <x:c r="G30" s="198" t="n">
        <x:f>E30*F30</x:f>
        <x:v>0</x:v>
      </x:c>
      <x:c r="H30" s="197"/>
      <x:c r="I30" s="197"/>
      <x:c r="J30" s="198" t="n">
        <x:f>D30+G30+H30</x:f>
        <x:v>0</x:v>
      </x:c>
      <x:c r="K30" s="198" t="n">
        <x:f>I30-J30</x:f>
        <x:v>0</x:v>
      </x:c>
      <x:c r="L30" s="197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  <x:c r="AA30" s="39"/>
      <x:c r="AB30" s="39"/>
      <x:c r="AC30" s="39"/>
      <x:c r="AD30" s="39"/>
      <x:c r="AE30" s="39"/>
      <x:c r="AF30" s="39"/>
      <x:c r="AG30" s="39"/>
    </x:row>
    <x:row r="31">
      <x:c r="A31" s="197"/>
      <x:c r="B31" s="197"/>
      <x:c r="C31" s="197"/>
      <x:c r="D31" s="198" t="n">
        <x:f>C31*Impostazioni!$B$11</x:f>
        <x:v>0</x:v>
      </x:c>
      <x:c r="E31" s="197"/>
      <x:c r="F31" s="198" t="n">
        <x:f>Impostazioni!$B$4</x:f>
        <x:v>40</x:v>
      </x:c>
      <x:c r="G31" s="198" t="n">
        <x:f>E31*F31</x:f>
        <x:v>0</x:v>
      </x:c>
      <x:c r="H31" s="197"/>
      <x:c r="I31" s="197"/>
      <x:c r="J31" s="198" t="n">
        <x:f>D31+G31+H31</x:f>
        <x:v>0</x:v>
      </x:c>
      <x:c r="K31" s="198" t="n">
        <x:f>I31-J31</x:f>
        <x:v>0</x:v>
      </x:c>
      <x:c r="L31" s="197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  <x:c r="AA31" s="39"/>
      <x:c r="AB31" s="39"/>
      <x:c r="AC31" s="39"/>
      <x:c r="AD31" s="39"/>
      <x:c r="AE31" s="39"/>
      <x:c r="AF31" s="39"/>
      <x:c r="AG31" s="39"/>
    </x:row>
    <x:row r="32">
      <x:c r="A32" s="197"/>
      <x:c r="B32" s="197"/>
      <x:c r="C32" s="197"/>
      <x:c r="D32" s="198" t="n">
        <x:f>C32*Impostazioni!$B$11</x:f>
        <x:v>0</x:v>
      </x:c>
      <x:c r="E32" s="197"/>
      <x:c r="F32" s="198" t="n">
        <x:f>Impostazioni!$B$4</x:f>
        <x:v>40</x:v>
      </x:c>
      <x:c r="G32" s="198" t="n">
        <x:f>E32*F32</x:f>
        <x:v>0</x:v>
      </x:c>
      <x:c r="H32" s="197"/>
      <x:c r="I32" s="197"/>
      <x:c r="J32" s="198" t="n">
        <x:f>D32+G32+H32</x:f>
        <x:v>0</x:v>
      </x:c>
      <x:c r="K32" s="198" t="n">
        <x:f>I32-J32</x:f>
        <x:v>0</x:v>
      </x:c>
      <x:c r="L32" s="197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  <x:c r="AA32" s="39"/>
      <x:c r="AB32" s="39"/>
      <x:c r="AC32" s="39"/>
      <x:c r="AD32" s="39"/>
      <x:c r="AE32" s="39"/>
      <x:c r="AF32" s="39"/>
      <x:c r="AG32" s="39"/>
    </x:row>
    <x:row r="33">
      <x:c r="A33" s="197"/>
      <x:c r="B33" s="197"/>
      <x:c r="C33" s="197"/>
      <x:c r="D33" s="198" t="n">
        <x:f>C33*Impostazioni!$B$11</x:f>
        <x:v>0</x:v>
      </x:c>
      <x:c r="E33" s="197"/>
      <x:c r="F33" s="198" t="n">
        <x:f>Impostazioni!$B$4</x:f>
        <x:v>40</x:v>
      </x:c>
      <x:c r="G33" s="198" t="n">
        <x:f>E33*F33</x:f>
        <x:v>0</x:v>
      </x:c>
      <x:c r="H33" s="197"/>
      <x:c r="I33" s="197"/>
      <x:c r="J33" s="198" t="n">
        <x:f>D33+G33+H33</x:f>
        <x:v>0</x:v>
      </x:c>
      <x:c r="K33" s="198" t="n">
        <x:f>I33-J33</x:f>
        <x:v>0</x:v>
      </x:c>
      <x:c r="L33" s="197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  <x:c r="AA33" s="39"/>
      <x:c r="AB33" s="39"/>
      <x:c r="AC33" s="39"/>
      <x:c r="AD33" s="39"/>
      <x:c r="AE33" s="39"/>
      <x:c r="AF33" s="39"/>
      <x:c r="AG33" s="39"/>
    </x:row>
    <x:row r="34">
      <x:c r="A34" s="197"/>
      <x:c r="B34" s="197"/>
      <x:c r="C34" s="197"/>
      <x:c r="D34" s="198" t="n">
        <x:f>C34*Impostazioni!$B$11</x:f>
        <x:v>0</x:v>
      </x:c>
      <x:c r="E34" s="197"/>
      <x:c r="F34" s="198" t="n">
        <x:f>Impostazioni!$B$4</x:f>
        <x:v>40</x:v>
      </x:c>
      <x:c r="G34" s="198" t="n">
        <x:f>E34*F34</x:f>
        <x:v>0</x:v>
      </x:c>
      <x:c r="H34" s="197"/>
      <x:c r="I34" s="197"/>
      <x:c r="J34" s="198" t="n">
        <x:f>D34+G34+H34</x:f>
        <x:v>0</x:v>
      </x:c>
      <x:c r="K34" s="198" t="n">
        <x:f>I34-J34</x:f>
        <x:v>0</x:v>
      </x:c>
      <x:c r="L34" s="197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  <x:c r="AA34" s="39"/>
      <x:c r="AB34" s="39"/>
      <x:c r="AC34" s="39"/>
      <x:c r="AD34" s="39"/>
      <x:c r="AE34" s="39"/>
      <x:c r="AF34" s="39"/>
      <x:c r="AG34" s="39"/>
    </x:row>
    <x:row r="35">
      <x:c r="A35" s="197"/>
      <x:c r="B35" s="197"/>
      <x:c r="C35" s="197"/>
      <x:c r="D35" s="198" t="n">
        <x:f>C35*Impostazioni!$B$11</x:f>
        <x:v>0</x:v>
      </x:c>
      <x:c r="E35" s="197"/>
      <x:c r="F35" s="198" t="n">
        <x:f>Impostazioni!$B$4</x:f>
        <x:v>40</x:v>
      </x:c>
      <x:c r="G35" s="198" t="n">
        <x:f>E35*F35</x:f>
        <x:v>0</x:v>
      </x:c>
      <x:c r="H35" s="197"/>
      <x:c r="I35" s="197"/>
      <x:c r="J35" s="198" t="n">
        <x:f>D35+G35+H35</x:f>
        <x:v>0</x:v>
      </x:c>
      <x:c r="K35" s="198" t="n">
        <x:f>I35-J35</x:f>
        <x:v>0</x:v>
      </x:c>
      <x:c r="L35" s="197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  <x:c r="AA35" s="39"/>
      <x:c r="AB35" s="39"/>
      <x:c r="AC35" s="39"/>
      <x:c r="AD35" s="39"/>
      <x:c r="AE35" s="39"/>
      <x:c r="AF35" s="39"/>
      <x:c r="AG35" s="39"/>
    </x:row>
    <x:row r="36">
      <x:c r="A36" s="197"/>
      <x:c r="B36" s="197"/>
      <x:c r="C36" s="197"/>
      <x:c r="D36" s="198" t="n">
        <x:f>C36*Impostazioni!$B$11</x:f>
        <x:v>0</x:v>
      </x:c>
      <x:c r="E36" s="197"/>
      <x:c r="F36" s="198" t="n">
        <x:f>Impostazioni!$B$4</x:f>
        <x:v>40</x:v>
      </x:c>
      <x:c r="G36" s="198" t="n">
        <x:f>E36*F36</x:f>
        <x:v>0</x:v>
      </x:c>
      <x:c r="H36" s="197"/>
      <x:c r="I36" s="197"/>
      <x:c r="J36" s="198" t="n">
        <x:f>D36+G36+H36</x:f>
        <x:v>0</x:v>
      </x:c>
      <x:c r="K36" s="198" t="n">
        <x:f>I36-J36</x:f>
        <x:v>0</x:v>
      </x:c>
      <x:c r="L36" s="197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  <x:c r="AA36" s="39"/>
      <x:c r="AB36" s="39"/>
      <x:c r="AC36" s="39"/>
      <x:c r="AD36" s="39"/>
      <x:c r="AE36" s="39"/>
      <x:c r="AF36" s="39"/>
      <x:c r="AG36" s="39"/>
    </x:row>
    <x:row r="37">
      <x:c r="A37" s="197"/>
      <x:c r="B37" s="197"/>
      <x:c r="C37" s="197"/>
      <x:c r="D37" s="198" t="n">
        <x:f>C37*Impostazioni!$B$11</x:f>
        <x:v>0</x:v>
      </x:c>
      <x:c r="E37" s="197"/>
      <x:c r="F37" s="198" t="n">
        <x:f>Impostazioni!$B$4</x:f>
        <x:v>40</x:v>
      </x:c>
      <x:c r="G37" s="198" t="n">
        <x:f>E37*F37</x:f>
        <x:v>0</x:v>
      </x:c>
      <x:c r="H37" s="197"/>
      <x:c r="I37" s="197"/>
      <x:c r="J37" s="198" t="n">
        <x:f>D37+G37+H37</x:f>
        <x:v>0</x:v>
      </x:c>
      <x:c r="K37" s="198" t="n">
        <x:f>I37-J37</x:f>
        <x:v>0</x:v>
      </x:c>
      <x:c r="L37" s="197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  <x:c r="AA37" s="39"/>
      <x:c r="AB37" s="39"/>
      <x:c r="AC37" s="39"/>
      <x:c r="AD37" s="39"/>
      <x:c r="AE37" s="39"/>
      <x:c r="AF37" s="39"/>
      <x:c r="AG37" s="39"/>
    </x:row>
    <x:row r="38">
      <x:c r="A38" s="197"/>
      <x:c r="B38" s="197"/>
      <x:c r="C38" s="197"/>
      <x:c r="D38" s="198" t="n">
        <x:f>C38*Impostazioni!$B$11</x:f>
        <x:v>0</x:v>
      </x:c>
      <x:c r="E38" s="197"/>
      <x:c r="F38" s="198" t="n">
        <x:f>Impostazioni!$B$4</x:f>
        <x:v>40</x:v>
      </x:c>
      <x:c r="G38" s="198" t="n">
        <x:f>E38*F38</x:f>
        <x:v>0</x:v>
      </x:c>
      <x:c r="H38" s="197"/>
      <x:c r="I38" s="197"/>
      <x:c r="J38" s="198" t="n">
        <x:f>D38+G38+H38</x:f>
        <x:v>0</x:v>
      </x:c>
      <x:c r="K38" s="198" t="n">
        <x:f>I38-J38</x:f>
        <x:v>0</x:v>
      </x:c>
      <x:c r="L38" s="197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  <x:c r="AA38" s="39"/>
      <x:c r="AB38" s="39"/>
      <x:c r="AC38" s="39"/>
      <x:c r="AD38" s="39"/>
      <x:c r="AE38" s="39"/>
      <x:c r="AF38" s="39"/>
      <x:c r="AG38" s="39"/>
    </x:row>
    <x:row r="39">
      <x:c r="A39" s="197"/>
      <x:c r="B39" s="197"/>
      <x:c r="C39" s="197"/>
      <x:c r="D39" s="198" t="n">
        <x:f>C39*Impostazioni!$B$11</x:f>
        <x:v>0</x:v>
      </x:c>
      <x:c r="E39" s="197"/>
      <x:c r="F39" s="198" t="n">
        <x:f>Impostazioni!$B$4</x:f>
        <x:v>40</x:v>
      </x:c>
      <x:c r="G39" s="198" t="n">
        <x:f>E39*F39</x:f>
        <x:v>0</x:v>
      </x:c>
      <x:c r="H39" s="197"/>
      <x:c r="I39" s="197"/>
      <x:c r="J39" s="198" t="n">
        <x:f>D39+G39+H39</x:f>
        <x:v>0</x:v>
      </x:c>
      <x:c r="K39" s="198" t="n">
        <x:f>I39-J39</x:f>
        <x:v>0</x:v>
      </x:c>
      <x:c r="L39" s="197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  <x:c r="AA39" s="39"/>
      <x:c r="AB39" s="39"/>
      <x:c r="AC39" s="39"/>
      <x:c r="AD39" s="39"/>
      <x:c r="AE39" s="39"/>
      <x:c r="AF39" s="39"/>
      <x:c r="AG39" s="39"/>
    </x:row>
    <x:row r="40">
      <x:c r="A40" s="197"/>
      <x:c r="B40" s="197"/>
      <x:c r="C40" s="197"/>
      <x:c r="D40" s="198" t="n">
        <x:f>C40*Impostazioni!$B$11</x:f>
        <x:v>0</x:v>
      </x:c>
      <x:c r="E40" s="197"/>
      <x:c r="F40" s="198" t="n">
        <x:f>Impostazioni!$B$4</x:f>
        <x:v>40</x:v>
      </x:c>
      <x:c r="G40" s="198" t="n">
        <x:f>E40*F40</x:f>
        <x:v>0</x:v>
      </x:c>
      <x:c r="H40" s="197"/>
      <x:c r="I40" s="197"/>
      <x:c r="J40" s="198" t="n">
        <x:f>D40+G40+H40</x:f>
        <x:v>0</x:v>
      </x:c>
      <x:c r="K40" s="198" t="n">
        <x:f>I40-J40</x:f>
        <x:v>0</x:v>
      </x:c>
      <x:c r="L40" s="197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  <x:c r="AA40" s="39"/>
      <x:c r="AB40" s="39"/>
      <x:c r="AC40" s="39"/>
      <x:c r="AD40" s="39"/>
      <x:c r="AE40" s="39"/>
      <x:c r="AF40" s="39"/>
      <x:c r="AG40" s="39"/>
    </x:row>
    <x:row r="41">
      <x:c r="A41" s="197"/>
      <x:c r="B41" s="197"/>
      <x:c r="C41" s="197"/>
      <x:c r="D41" s="198" t="n">
        <x:f>C41*Impostazioni!$B$11</x:f>
        <x:v>0</x:v>
      </x:c>
      <x:c r="E41" s="197"/>
      <x:c r="F41" s="198" t="n">
        <x:f>Impostazioni!$B$4</x:f>
        <x:v>40</x:v>
      </x:c>
      <x:c r="G41" s="198" t="n">
        <x:f>E41*F41</x:f>
        <x:v>0</x:v>
      </x:c>
      <x:c r="H41" s="197"/>
      <x:c r="I41" s="197"/>
      <x:c r="J41" s="198" t="n">
        <x:f>D41+G41+H41</x:f>
        <x:v>0</x:v>
      </x:c>
      <x:c r="K41" s="198" t="n">
        <x:f>I41-J41</x:f>
        <x:v>0</x:v>
      </x:c>
      <x:c r="L41" s="197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  <x:c r="AA41" s="39"/>
      <x:c r="AB41" s="39"/>
      <x:c r="AC41" s="39"/>
      <x:c r="AD41" s="39"/>
      <x:c r="AE41" s="39"/>
      <x:c r="AF41" s="39"/>
      <x:c r="AG41" s="39"/>
    </x:row>
    <x:row r="42">
      <x:c r="A42" s="197"/>
      <x:c r="B42" s="197"/>
      <x:c r="C42" s="197"/>
      <x:c r="D42" s="198" t="n">
        <x:f>C42*Impostazioni!$B$11</x:f>
        <x:v>0</x:v>
      </x:c>
      <x:c r="E42" s="197"/>
      <x:c r="F42" s="198" t="n">
        <x:f>Impostazioni!$B$4</x:f>
        <x:v>40</x:v>
      </x:c>
      <x:c r="G42" s="198" t="n">
        <x:f>E42*F42</x:f>
        <x:v>0</x:v>
      </x:c>
      <x:c r="H42" s="197"/>
      <x:c r="I42" s="197"/>
      <x:c r="J42" s="198" t="n">
        <x:f>D42+G42+H42</x:f>
        <x:v>0</x:v>
      </x:c>
      <x:c r="K42" s="198" t="n">
        <x:f>I42-J42</x:f>
        <x:v>0</x:v>
      </x:c>
      <x:c r="L42" s="197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  <x:c r="AA42" s="39"/>
      <x:c r="AB42" s="39"/>
      <x:c r="AC42" s="39"/>
      <x:c r="AD42" s="39"/>
      <x:c r="AE42" s="39"/>
      <x:c r="AF42" s="39"/>
      <x:c r="AG42" s="39"/>
    </x:row>
    <x:row r="43">
      <x:c r="A43" s="197"/>
      <x:c r="B43" s="197"/>
      <x:c r="C43" s="197"/>
      <x:c r="D43" s="198" t="n">
        <x:f>C43*Impostazioni!$B$11</x:f>
        <x:v>0</x:v>
      </x:c>
      <x:c r="E43" s="197"/>
      <x:c r="F43" s="198" t="n">
        <x:f>Impostazioni!$B$4</x:f>
        <x:v>40</x:v>
      </x:c>
      <x:c r="G43" s="198" t="n">
        <x:f>E43*F43</x:f>
        <x:v>0</x:v>
      </x:c>
      <x:c r="H43" s="197"/>
      <x:c r="I43" s="197"/>
      <x:c r="J43" s="198" t="n">
        <x:f>D43+G43+H43</x:f>
        <x:v>0</x:v>
      </x:c>
      <x:c r="K43" s="198" t="n">
        <x:f>I43-J43</x:f>
        <x:v>0</x:v>
      </x:c>
      <x:c r="L43" s="197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  <x:c r="AA43" s="39"/>
      <x:c r="AB43" s="39"/>
      <x:c r="AC43" s="39"/>
      <x:c r="AD43" s="39"/>
      <x:c r="AE43" s="39"/>
      <x:c r="AF43" s="39"/>
      <x:c r="AG43" s="39"/>
    </x:row>
    <x:row r="44">
      <x:c r="A44" s="197"/>
      <x:c r="B44" s="197"/>
      <x:c r="C44" s="197"/>
      <x:c r="D44" s="198" t="n">
        <x:f>C44*Impostazioni!$B$11</x:f>
        <x:v>0</x:v>
      </x:c>
      <x:c r="E44" s="197"/>
      <x:c r="F44" s="198" t="n">
        <x:f>Impostazioni!$B$4</x:f>
        <x:v>40</x:v>
      </x:c>
      <x:c r="G44" s="198" t="n">
        <x:f>E44*F44</x:f>
        <x:v>0</x:v>
      </x:c>
      <x:c r="H44" s="197"/>
      <x:c r="I44" s="197"/>
      <x:c r="J44" s="198" t="n">
        <x:f>D44+G44+H44</x:f>
        <x:v>0</x:v>
      </x:c>
      <x:c r="K44" s="198" t="n">
        <x:f>I44-J44</x:f>
        <x:v>0</x:v>
      </x:c>
      <x:c r="L44" s="197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  <x:c r="AA44" s="39"/>
      <x:c r="AB44" s="39"/>
      <x:c r="AC44" s="39"/>
      <x:c r="AD44" s="39"/>
      <x:c r="AE44" s="39"/>
      <x:c r="AF44" s="39"/>
      <x:c r="AG44" s="39"/>
    </x:row>
    <x:row r="45">
      <x:c r="A45" s="197"/>
      <x:c r="B45" s="197"/>
      <x:c r="C45" s="197"/>
      <x:c r="D45" s="198" t="n">
        <x:f>C45*Impostazioni!$B$11</x:f>
        <x:v>0</x:v>
      </x:c>
      <x:c r="E45" s="197"/>
      <x:c r="F45" s="198" t="n">
        <x:f>Impostazioni!$B$4</x:f>
        <x:v>40</x:v>
      </x:c>
      <x:c r="G45" s="198" t="n">
        <x:f>E45*F45</x:f>
        <x:v>0</x:v>
      </x:c>
      <x:c r="H45" s="197"/>
      <x:c r="I45" s="197"/>
      <x:c r="J45" s="198" t="n">
        <x:f>D45+G45+H45</x:f>
        <x:v>0</x:v>
      </x:c>
      <x:c r="K45" s="198" t="n">
        <x:f>I45-J45</x:f>
        <x:v>0</x:v>
      </x:c>
      <x:c r="L45" s="197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  <x:c r="AA45" s="39"/>
      <x:c r="AB45" s="39"/>
      <x:c r="AC45" s="39"/>
      <x:c r="AD45" s="39"/>
      <x:c r="AE45" s="39"/>
      <x:c r="AF45" s="39"/>
      <x:c r="AG45" s="39"/>
    </x:row>
    <x:row r="46">
      <x:c r="A46" s="197"/>
      <x:c r="B46" s="197"/>
      <x:c r="C46" s="197"/>
      <x:c r="D46" s="198" t="n">
        <x:f>C46*Impostazioni!$B$11</x:f>
        <x:v>0</x:v>
      </x:c>
      <x:c r="E46" s="197"/>
      <x:c r="F46" s="198" t="n">
        <x:f>Impostazioni!$B$4</x:f>
        <x:v>40</x:v>
      </x:c>
      <x:c r="G46" s="198" t="n">
        <x:f>E46*F46</x:f>
        <x:v>0</x:v>
      </x:c>
      <x:c r="H46" s="197"/>
      <x:c r="I46" s="197"/>
      <x:c r="J46" s="198" t="n">
        <x:f>D46+G46+H46</x:f>
        <x:v>0</x:v>
      </x:c>
      <x:c r="K46" s="198" t="n">
        <x:f>I46-J46</x:f>
        <x:v>0</x:v>
      </x:c>
      <x:c r="L46" s="197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  <x:c r="AA46" s="39"/>
      <x:c r="AB46" s="39"/>
      <x:c r="AC46" s="39"/>
      <x:c r="AD46" s="39"/>
      <x:c r="AE46" s="39"/>
      <x:c r="AF46" s="39"/>
      <x:c r="AG46" s="39"/>
    </x:row>
    <x:row r="47">
      <x:c r="A47" s="197"/>
      <x:c r="B47" s="197"/>
      <x:c r="C47" s="197"/>
      <x:c r="D47" s="198" t="n">
        <x:f>C47*Impostazioni!$B$11</x:f>
        <x:v>0</x:v>
      </x:c>
      <x:c r="E47" s="197"/>
      <x:c r="F47" s="198" t="n">
        <x:f>Impostazioni!$B$4</x:f>
        <x:v>40</x:v>
      </x:c>
      <x:c r="G47" s="198" t="n">
        <x:f>E47*F47</x:f>
        <x:v>0</x:v>
      </x:c>
      <x:c r="H47" s="197"/>
      <x:c r="I47" s="197"/>
      <x:c r="J47" s="198" t="n">
        <x:f>D47+G47+H47</x:f>
        <x:v>0</x:v>
      </x:c>
      <x:c r="K47" s="198" t="n">
        <x:f>I47-J47</x:f>
        <x:v>0</x:v>
      </x:c>
      <x:c r="L47" s="197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  <x:c r="AA47" s="39"/>
      <x:c r="AB47" s="39"/>
      <x:c r="AC47" s="39"/>
      <x:c r="AD47" s="39"/>
      <x:c r="AE47" s="39"/>
      <x:c r="AF47" s="39"/>
      <x:c r="AG47" s="39"/>
    </x:row>
    <x:row r="48">
      <x:c r="A48" s="197"/>
      <x:c r="B48" s="197"/>
      <x:c r="C48" s="197"/>
      <x:c r="D48" s="198" t="n">
        <x:f>C48*Impostazioni!$B$11</x:f>
        <x:v>0</x:v>
      </x:c>
      <x:c r="E48" s="197"/>
      <x:c r="F48" s="198" t="n">
        <x:f>Impostazioni!$B$4</x:f>
        <x:v>40</x:v>
      </x:c>
      <x:c r="G48" s="198" t="n">
        <x:f>E48*F48</x:f>
        <x:v>0</x:v>
      </x:c>
      <x:c r="H48" s="197"/>
      <x:c r="I48" s="197"/>
      <x:c r="J48" s="198" t="n">
        <x:f>D48+G48+H48</x:f>
        <x:v>0</x:v>
      </x:c>
      <x:c r="K48" s="198" t="n">
        <x:f>I48-J48</x:f>
        <x:v>0</x:v>
      </x:c>
      <x:c r="L48" s="197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  <x:c r="AA48" s="39"/>
      <x:c r="AB48" s="39"/>
      <x:c r="AC48" s="39"/>
      <x:c r="AD48" s="39"/>
      <x:c r="AE48" s="39"/>
      <x:c r="AF48" s="39"/>
      <x:c r="AG48" s="39"/>
    </x:row>
    <x:row r="49">
      <x:c r="A49" s="197"/>
      <x:c r="B49" s="197"/>
      <x:c r="C49" s="197"/>
      <x:c r="D49" s="198" t="n">
        <x:f>C49*Impostazioni!$B$11</x:f>
        <x:v>0</x:v>
      </x:c>
      <x:c r="E49" s="197"/>
      <x:c r="F49" s="198" t="n">
        <x:f>Impostazioni!$B$4</x:f>
        <x:v>40</x:v>
      </x:c>
      <x:c r="G49" s="198" t="n">
        <x:f>E49*F49</x:f>
        <x:v>0</x:v>
      </x:c>
      <x:c r="H49" s="197"/>
      <x:c r="I49" s="197"/>
      <x:c r="J49" s="198" t="n">
        <x:f>D49+G49+H49</x:f>
        <x:v>0</x:v>
      </x:c>
      <x:c r="K49" s="198" t="n">
        <x:f>I49-J49</x:f>
        <x:v>0</x:v>
      </x:c>
      <x:c r="L49" s="197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  <x:c r="AA49" s="39"/>
      <x:c r="AB49" s="39"/>
      <x:c r="AC49" s="39"/>
      <x:c r="AD49" s="39"/>
      <x:c r="AE49" s="39"/>
      <x:c r="AF49" s="39"/>
      <x:c r="AG49" s="39"/>
    </x:row>
    <x:row r="50">
      <x:c r="A50" s="197"/>
      <x:c r="B50" s="197"/>
      <x:c r="C50" s="197"/>
      <x:c r="D50" s="198" t="n">
        <x:f>C50*Impostazioni!$B$11</x:f>
        <x:v>0</x:v>
      </x:c>
      <x:c r="E50" s="197"/>
      <x:c r="F50" s="198" t="n">
        <x:f>Impostazioni!$B$4</x:f>
        <x:v>40</x:v>
      </x:c>
      <x:c r="G50" s="198" t="n">
        <x:f>E50*F50</x:f>
        <x:v>0</x:v>
      </x:c>
      <x:c r="H50" s="197"/>
      <x:c r="I50" s="197"/>
      <x:c r="J50" s="198" t="n">
        <x:f>D50+G50+H50</x:f>
        <x:v>0</x:v>
      </x:c>
      <x:c r="K50" s="198" t="n">
        <x:f>I50-J50</x:f>
        <x:v>0</x:v>
      </x:c>
      <x:c r="L50" s="197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  <x:c r="AA50" s="39"/>
      <x:c r="AB50" s="39"/>
      <x:c r="AC50" s="39"/>
      <x:c r="AD50" s="39"/>
      <x:c r="AE50" s="39"/>
      <x:c r="AF50" s="39"/>
      <x:c r="AG50" s="39"/>
    </x:row>
    <x:row r="51">
      <x:c r="A51" s="197"/>
      <x:c r="B51" s="197"/>
      <x:c r="C51" s="197"/>
      <x:c r="D51" s="198" t="n">
        <x:f>C51*Impostazioni!$B$11</x:f>
        <x:v>0</x:v>
      </x:c>
      <x:c r="E51" s="197"/>
      <x:c r="F51" s="198" t="n">
        <x:f>Impostazioni!$B$4</x:f>
        <x:v>40</x:v>
      </x:c>
      <x:c r="G51" s="198" t="n">
        <x:f>E51*F51</x:f>
        <x:v>0</x:v>
      </x:c>
      <x:c r="H51" s="197"/>
      <x:c r="I51" s="197"/>
      <x:c r="J51" s="198" t="n">
        <x:f>D51+G51+H51</x:f>
        <x:v>0</x:v>
      </x:c>
      <x:c r="K51" s="198" t="n">
        <x:f>I51-J51</x:f>
        <x:v>0</x:v>
      </x:c>
      <x:c r="L51" s="197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  <x:c r="AA51" s="39"/>
      <x:c r="AB51" s="39"/>
      <x:c r="AC51" s="39"/>
      <x:c r="AD51" s="39"/>
      <x:c r="AE51" s="39"/>
      <x:c r="AF51" s="39"/>
      <x:c r="AG51" s="39"/>
    </x:row>
    <x:row r="52">
      <x:c r="A52" s="197"/>
      <x:c r="B52" s="197"/>
      <x:c r="C52" s="197"/>
      <x:c r="D52" s="198" t="n">
        <x:f>C52*Impostazioni!$B$11</x:f>
        <x:v>0</x:v>
      </x:c>
      <x:c r="E52" s="197"/>
      <x:c r="F52" s="198" t="n">
        <x:f>Impostazioni!$B$4</x:f>
        <x:v>40</x:v>
      </x:c>
      <x:c r="G52" s="198" t="n">
        <x:f>E52*F52</x:f>
        <x:v>0</x:v>
      </x:c>
      <x:c r="H52" s="197"/>
      <x:c r="I52" s="197"/>
      <x:c r="J52" s="198" t="n">
        <x:f>D52+G52+H52</x:f>
        <x:v>0</x:v>
      </x:c>
      <x:c r="K52" s="198" t="n">
        <x:f>I52-J52</x:f>
        <x:v>0</x:v>
      </x:c>
      <x:c r="L52" s="197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  <x:c r="AA52" s="39"/>
      <x:c r="AB52" s="39"/>
      <x:c r="AC52" s="39"/>
      <x:c r="AD52" s="39"/>
      <x:c r="AE52" s="39"/>
      <x:c r="AF52" s="39"/>
      <x:c r="AG52" s="39"/>
    </x:row>
    <x:row r="53">
      <x:c r="A53" s="197"/>
      <x:c r="B53" s="197"/>
      <x:c r="C53" s="197"/>
      <x:c r="D53" s="198" t="n">
        <x:f>C53*Impostazioni!$B$11</x:f>
        <x:v>0</x:v>
      </x:c>
      <x:c r="E53" s="197"/>
      <x:c r="F53" s="198" t="n">
        <x:f>Impostazioni!$B$4</x:f>
        <x:v>40</x:v>
      </x:c>
      <x:c r="G53" s="198" t="n">
        <x:f>E53*F53</x:f>
        <x:v>0</x:v>
      </x:c>
      <x:c r="H53" s="197"/>
      <x:c r="I53" s="197"/>
      <x:c r="J53" s="198" t="n">
        <x:f>D53+G53+H53</x:f>
        <x:v>0</x:v>
      </x:c>
      <x:c r="K53" s="198" t="n">
        <x:f>I53-J53</x:f>
        <x:v>0</x:v>
      </x:c>
      <x:c r="L53" s="197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  <x:c r="AA53" s="39"/>
      <x:c r="AB53" s="39"/>
      <x:c r="AC53" s="39"/>
      <x:c r="AD53" s="39"/>
      <x:c r="AE53" s="39"/>
      <x:c r="AF53" s="39"/>
      <x:c r="AG53" s="39"/>
    </x:row>
    <x:row r="54">
      <x:c r="A54" s="197"/>
      <x:c r="B54" s="197"/>
      <x:c r="C54" s="197"/>
      <x:c r="D54" s="198" t="n">
        <x:f>C54*Impostazioni!$B$11</x:f>
        <x:v>0</x:v>
      </x:c>
      <x:c r="E54" s="197"/>
      <x:c r="F54" s="198" t="n">
        <x:f>Impostazioni!$B$4</x:f>
        <x:v>40</x:v>
      </x:c>
      <x:c r="G54" s="198" t="n">
        <x:f>E54*F54</x:f>
        <x:v>0</x:v>
      </x:c>
      <x:c r="H54" s="197"/>
      <x:c r="I54" s="197"/>
      <x:c r="J54" s="198" t="n">
        <x:f>D54+G54+H54</x:f>
        <x:v>0</x:v>
      </x:c>
      <x:c r="K54" s="198" t="n">
        <x:f>I54-J54</x:f>
        <x:v>0</x:v>
      </x:c>
      <x:c r="L54" s="197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  <x:c r="AA54" s="39"/>
      <x:c r="AB54" s="39"/>
      <x:c r="AC54" s="39"/>
      <x:c r="AD54" s="39"/>
      <x:c r="AE54" s="39"/>
      <x:c r="AF54" s="39"/>
      <x:c r="AG54" s="39"/>
    </x:row>
    <x:row r="55">
      <x:c r="A55" s="197"/>
      <x:c r="B55" s="197"/>
      <x:c r="C55" s="197"/>
      <x:c r="D55" s="198" t="n">
        <x:f>C55*Impostazioni!$B$11</x:f>
        <x:v>0</x:v>
      </x:c>
      <x:c r="E55" s="197"/>
      <x:c r="F55" s="198" t="n">
        <x:f>Impostazioni!$B$4</x:f>
        <x:v>40</x:v>
      </x:c>
      <x:c r="G55" s="198" t="n">
        <x:f>E55*F55</x:f>
        <x:v>0</x:v>
      </x:c>
      <x:c r="H55" s="197"/>
      <x:c r="I55" s="197"/>
      <x:c r="J55" s="198" t="n">
        <x:f>D55+G55+H55</x:f>
        <x:v>0</x:v>
      </x:c>
      <x:c r="K55" s="198" t="n">
        <x:f>I55-J55</x:f>
        <x:v>0</x:v>
      </x:c>
      <x:c r="L55" s="197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  <x:c r="AA55" s="39"/>
      <x:c r="AB55" s="39"/>
      <x:c r="AC55" s="39"/>
      <x:c r="AD55" s="39"/>
      <x:c r="AE55" s="39"/>
      <x:c r="AF55" s="39"/>
      <x:c r="AG55" s="39"/>
    </x:row>
    <x:row r="56">
      <x:c r="A56" s="197"/>
      <x:c r="B56" s="197"/>
      <x:c r="C56" s="197"/>
      <x:c r="D56" s="198" t="n">
        <x:f>C56*Impostazioni!$B$11</x:f>
        <x:v>0</x:v>
      </x:c>
      <x:c r="E56" s="197"/>
      <x:c r="F56" s="198" t="n">
        <x:f>Impostazioni!$B$4</x:f>
        <x:v>40</x:v>
      </x:c>
      <x:c r="G56" s="198" t="n">
        <x:f>E56*F56</x:f>
        <x:v>0</x:v>
      </x:c>
      <x:c r="H56" s="197"/>
      <x:c r="I56" s="197"/>
      <x:c r="J56" s="198" t="n">
        <x:f>D56+G56+H56</x:f>
        <x:v>0</x:v>
      </x:c>
      <x:c r="K56" s="198" t="n">
        <x:f>I56-J56</x:f>
        <x:v>0</x:v>
      </x:c>
      <x:c r="L56" s="197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  <x:c r="AA56" s="39"/>
      <x:c r="AB56" s="39"/>
      <x:c r="AC56" s="39"/>
      <x:c r="AD56" s="39"/>
      <x:c r="AE56" s="39"/>
      <x:c r="AF56" s="39"/>
      <x:c r="AG56" s="39"/>
    </x:row>
    <x:row r="57">
      <x:c r="A57" s="197"/>
      <x:c r="B57" s="197"/>
      <x:c r="C57" s="197"/>
      <x:c r="D57" s="198" t="n">
        <x:f>C57*Impostazioni!$B$11</x:f>
        <x:v>0</x:v>
      </x:c>
      <x:c r="E57" s="197"/>
      <x:c r="F57" s="198" t="n">
        <x:f>Impostazioni!$B$4</x:f>
        <x:v>40</x:v>
      </x:c>
      <x:c r="G57" s="198" t="n">
        <x:f>E57*F57</x:f>
        <x:v>0</x:v>
      </x:c>
      <x:c r="H57" s="197"/>
      <x:c r="I57" s="197"/>
      <x:c r="J57" s="198" t="n">
        <x:f>D57+G57+H57</x:f>
        <x:v>0</x:v>
      </x:c>
      <x:c r="K57" s="198" t="n">
        <x:f>I57-J57</x:f>
        <x:v>0</x:v>
      </x:c>
      <x:c r="L57" s="197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  <x:c r="AA57" s="39"/>
      <x:c r="AB57" s="39"/>
      <x:c r="AC57" s="39"/>
      <x:c r="AD57" s="39"/>
      <x:c r="AE57" s="39"/>
      <x:c r="AF57" s="39"/>
      <x:c r="AG57" s="39"/>
    </x:row>
    <x:row r="58">
      <x:c r="A58" s="197"/>
      <x:c r="B58" s="197"/>
      <x:c r="C58" s="197"/>
      <x:c r="D58" s="198" t="n">
        <x:f>C58*Impostazioni!$B$11</x:f>
        <x:v>0</x:v>
      </x:c>
      <x:c r="E58" s="197"/>
      <x:c r="F58" s="198" t="n">
        <x:f>Impostazioni!$B$4</x:f>
        <x:v>40</x:v>
      </x:c>
      <x:c r="G58" s="198" t="n">
        <x:f>E58*F58</x:f>
        <x:v>0</x:v>
      </x:c>
      <x:c r="H58" s="197"/>
      <x:c r="I58" s="197"/>
      <x:c r="J58" s="198" t="n">
        <x:f>D58+G58+H58</x:f>
        <x:v>0</x:v>
      </x:c>
      <x:c r="K58" s="198" t="n">
        <x:f>I58-J58</x:f>
        <x:v>0</x:v>
      </x:c>
      <x:c r="L58" s="197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39"/>
      <x:c r="AE58" s="39"/>
      <x:c r="AF58" s="39"/>
      <x:c r="AG58" s="39"/>
    </x:row>
    <x:row r="59">
      <x:c r="A59" s="197"/>
      <x:c r="B59" s="197"/>
      <x:c r="C59" s="197"/>
      <x:c r="D59" s="198" t="n">
        <x:f>C59*Impostazioni!$B$11</x:f>
        <x:v>0</x:v>
      </x:c>
      <x:c r="E59" s="197"/>
      <x:c r="F59" s="198" t="n">
        <x:f>Impostazioni!$B$4</x:f>
        <x:v>40</x:v>
      </x:c>
      <x:c r="G59" s="198" t="n">
        <x:f>E59*F59</x:f>
        <x:v>0</x:v>
      </x:c>
      <x:c r="H59" s="197"/>
      <x:c r="I59" s="197"/>
      <x:c r="J59" s="198" t="n">
        <x:f>D59+G59+H59</x:f>
        <x:v>0</x:v>
      </x:c>
      <x:c r="K59" s="198" t="n">
        <x:f>I59-J59</x:f>
        <x:v>0</x:v>
      </x:c>
      <x:c r="L59" s="197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  <x:c r="AA59" s="39"/>
      <x:c r="AB59" s="39"/>
      <x:c r="AC59" s="39"/>
      <x:c r="AD59" s="39"/>
      <x:c r="AE59" s="39"/>
      <x:c r="AF59" s="39"/>
      <x:c r="AG59" s="39"/>
    </x:row>
    <x:row r="60">
      <x:c r="A60" s="197"/>
      <x:c r="B60" s="197"/>
      <x:c r="C60" s="197"/>
      <x:c r="D60" s="198" t="n">
        <x:f>C60*Impostazioni!$B$11</x:f>
        <x:v>0</x:v>
      </x:c>
      <x:c r="E60" s="197"/>
      <x:c r="F60" s="198" t="n">
        <x:f>Impostazioni!$B$4</x:f>
        <x:v>40</x:v>
      </x:c>
      <x:c r="G60" s="198" t="n">
        <x:f>E60*F60</x:f>
        <x:v>0</x:v>
      </x:c>
      <x:c r="H60" s="197"/>
      <x:c r="I60" s="197"/>
      <x:c r="J60" s="198" t="n">
        <x:f>D60+G60+H60</x:f>
        <x:v>0</x:v>
      </x:c>
      <x:c r="K60" s="198" t="n">
        <x:f>I60-J60</x:f>
        <x:v>0</x:v>
      </x:c>
      <x:c r="L60" s="197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  <x:c r="AA60" s="39"/>
      <x:c r="AB60" s="39"/>
      <x:c r="AC60" s="39"/>
      <x:c r="AD60" s="39"/>
      <x:c r="AE60" s="39"/>
      <x:c r="AF60" s="39"/>
      <x:c r="AG60" s="39"/>
    </x:row>
    <x:row r="61">
      <x:c r="A61" s="197"/>
      <x:c r="B61" s="197"/>
      <x:c r="C61" s="197"/>
      <x:c r="D61" s="198" t="n">
        <x:f>C61*Impostazioni!$B$11</x:f>
        <x:v>0</x:v>
      </x:c>
      <x:c r="E61" s="197"/>
      <x:c r="F61" s="198" t="n">
        <x:f>Impostazioni!$B$4</x:f>
        <x:v>40</x:v>
      </x:c>
      <x:c r="G61" s="198" t="n">
        <x:f>E61*F61</x:f>
        <x:v>0</x:v>
      </x:c>
      <x:c r="H61" s="197"/>
      <x:c r="I61" s="197"/>
      <x:c r="J61" s="198" t="n">
        <x:f>D61+G61+H61</x:f>
        <x:v>0</x:v>
      </x:c>
      <x:c r="K61" s="198" t="n">
        <x:f>I61-J61</x:f>
        <x:v>0</x:v>
      </x:c>
      <x:c r="L61" s="197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  <x:c r="AA61" s="39"/>
      <x:c r="AB61" s="39"/>
      <x:c r="AC61" s="39"/>
      <x:c r="AD61" s="39"/>
      <x:c r="AE61" s="39"/>
      <x:c r="AF61" s="39"/>
      <x:c r="AG61" s="39"/>
    </x:row>
    <x:row r="62">
      <x:c r="A62" s="197"/>
      <x:c r="B62" s="197"/>
      <x:c r="C62" s="197"/>
      <x:c r="D62" s="198" t="n">
        <x:f>C62*Impostazioni!$B$11</x:f>
        <x:v>0</x:v>
      </x:c>
      <x:c r="E62" s="197"/>
      <x:c r="F62" s="198" t="n">
        <x:f>Impostazioni!$B$4</x:f>
        <x:v>40</x:v>
      </x:c>
      <x:c r="G62" s="198" t="n">
        <x:f>E62*F62</x:f>
        <x:v>0</x:v>
      </x:c>
      <x:c r="H62" s="197"/>
      <x:c r="I62" s="197"/>
      <x:c r="J62" s="198" t="n">
        <x:f>D62+G62+H62</x:f>
        <x:v>0</x:v>
      </x:c>
      <x:c r="K62" s="198" t="n">
        <x:f>I62-J62</x:f>
        <x:v>0</x:v>
      </x:c>
      <x:c r="L62" s="197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  <x:c r="AA62" s="39"/>
      <x:c r="AB62" s="39"/>
      <x:c r="AC62" s="39"/>
      <x:c r="AD62" s="39"/>
      <x:c r="AE62" s="39"/>
      <x:c r="AF62" s="39"/>
      <x:c r="AG62" s="39"/>
    </x:row>
    <x:row r="63">
      <x:c r="A63" s="197"/>
      <x:c r="B63" s="197"/>
      <x:c r="C63" s="197"/>
      <x:c r="D63" s="198" t="n">
        <x:f>C63*Impostazioni!$B$11</x:f>
        <x:v>0</x:v>
      </x:c>
      <x:c r="E63" s="197"/>
      <x:c r="F63" s="198" t="n">
        <x:f>Impostazioni!$B$4</x:f>
        <x:v>40</x:v>
      </x:c>
      <x:c r="G63" s="198" t="n">
        <x:f>E63*F63</x:f>
        <x:v>0</x:v>
      </x:c>
      <x:c r="H63" s="197"/>
      <x:c r="I63" s="197"/>
      <x:c r="J63" s="198" t="n">
        <x:f>D63+G63+H63</x:f>
        <x:v>0</x:v>
      </x:c>
      <x:c r="K63" s="198" t="n">
        <x:f>I63-J63</x:f>
        <x:v>0</x:v>
      </x:c>
      <x:c r="L63" s="197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  <x:c r="AA63" s="39"/>
      <x:c r="AB63" s="39"/>
      <x:c r="AC63" s="39"/>
      <x:c r="AD63" s="39"/>
      <x:c r="AE63" s="39"/>
      <x:c r="AF63" s="39"/>
      <x:c r="AG63" s="39"/>
    </x:row>
    <x:row r="64">
      <x:c r="A64" s="197"/>
      <x:c r="B64" s="197"/>
      <x:c r="C64" s="197"/>
      <x:c r="D64" s="198" t="n">
        <x:f>C64*Impostazioni!$B$11</x:f>
        <x:v>0</x:v>
      </x:c>
      <x:c r="E64" s="197"/>
      <x:c r="F64" s="198" t="n">
        <x:f>Impostazioni!$B$4</x:f>
        <x:v>40</x:v>
      </x:c>
      <x:c r="G64" s="198" t="n">
        <x:f>E64*F64</x:f>
        <x:v>0</x:v>
      </x:c>
      <x:c r="H64" s="197"/>
      <x:c r="I64" s="197"/>
      <x:c r="J64" s="198" t="n">
        <x:f>D64+G64+H64</x:f>
        <x:v>0</x:v>
      </x:c>
      <x:c r="K64" s="198" t="n">
        <x:f>I64-J64</x:f>
        <x:v>0</x:v>
      </x:c>
      <x:c r="L64" s="197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  <x:c r="AA64" s="39"/>
      <x:c r="AB64" s="39"/>
      <x:c r="AC64" s="39"/>
      <x:c r="AD64" s="39"/>
      <x:c r="AE64" s="39"/>
      <x:c r="AF64" s="39"/>
      <x:c r="AG64" s="39"/>
    </x:row>
    <x:row r="65">
      <x:c r="A65" s="197"/>
      <x:c r="B65" s="197"/>
      <x:c r="C65" s="197"/>
      <x:c r="D65" s="198" t="n">
        <x:f>C65*Impostazioni!$B$11</x:f>
        <x:v>0</x:v>
      </x:c>
      <x:c r="E65" s="197"/>
      <x:c r="F65" s="198" t="n">
        <x:f>Impostazioni!$B$4</x:f>
        <x:v>40</x:v>
      </x:c>
      <x:c r="G65" s="198" t="n">
        <x:f>E65*F65</x:f>
        <x:v>0</x:v>
      </x:c>
      <x:c r="H65" s="197"/>
      <x:c r="I65" s="197"/>
      <x:c r="J65" s="198" t="n">
        <x:f>D65+G65+H65</x:f>
        <x:v>0</x:v>
      </x:c>
      <x:c r="K65" s="198" t="n">
        <x:f>I65-J65</x:f>
        <x:v>0</x:v>
      </x:c>
      <x:c r="L65" s="197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  <x:c r="AA65" s="39"/>
      <x:c r="AB65" s="39"/>
      <x:c r="AC65" s="39"/>
      <x:c r="AD65" s="39"/>
      <x:c r="AE65" s="39"/>
      <x:c r="AF65" s="39"/>
      <x:c r="AG65" s="39"/>
    </x:row>
    <x:row r="66">
      <x:c r="A66" s="197"/>
      <x:c r="B66" s="197"/>
      <x:c r="C66" s="197"/>
      <x:c r="D66" s="198" t="n">
        <x:f>C66*Impostazioni!$B$11</x:f>
        <x:v>0</x:v>
      </x:c>
      <x:c r="E66" s="197"/>
      <x:c r="F66" s="198" t="n">
        <x:f>Impostazioni!$B$4</x:f>
        <x:v>40</x:v>
      </x:c>
      <x:c r="G66" s="198" t="n">
        <x:f>E66*F66</x:f>
        <x:v>0</x:v>
      </x:c>
      <x:c r="H66" s="197"/>
      <x:c r="I66" s="197"/>
      <x:c r="J66" s="198" t="n">
        <x:f>D66+G66+H66</x:f>
        <x:v>0</x:v>
      </x:c>
      <x:c r="K66" s="198" t="n">
        <x:f>I66-J66</x:f>
        <x:v>0</x:v>
      </x:c>
      <x:c r="L66" s="197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  <x:c r="AA66" s="39"/>
      <x:c r="AB66" s="39"/>
      <x:c r="AC66" s="39"/>
      <x:c r="AD66" s="39"/>
      <x:c r="AE66" s="39"/>
      <x:c r="AF66" s="39"/>
      <x:c r="AG66" s="39"/>
    </x:row>
    <x:row r="67">
      <x:c r="A67" s="197"/>
      <x:c r="B67" s="197"/>
      <x:c r="C67" s="197"/>
      <x:c r="D67" s="198" t="n">
        <x:f>C67*Impostazioni!$B$11</x:f>
        <x:v>0</x:v>
      </x:c>
      <x:c r="E67" s="197"/>
      <x:c r="F67" s="198" t="n">
        <x:f>Impostazioni!$B$4</x:f>
        <x:v>40</x:v>
      </x:c>
      <x:c r="G67" s="198" t="n">
        <x:f>E67*F67</x:f>
        <x:v>0</x:v>
      </x:c>
      <x:c r="H67" s="197"/>
      <x:c r="I67" s="197"/>
      <x:c r="J67" s="198" t="n">
        <x:f>D67+G67+H67</x:f>
        <x:v>0</x:v>
      </x:c>
      <x:c r="K67" s="198" t="n">
        <x:f>I67-J67</x:f>
        <x:v>0</x:v>
      </x:c>
      <x:c r="L67" s="197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  <x:c r="AA67" s="39"/>
      <x:c r="AB67" s="39"/>
      <x:c r="AC67" s="39"/>
      <x:c r="AD67" s="39"/>
      <x:c r="AE67" s="39"/>
      <x:c r="AF67" s="39"/>
      <x:c r="AG67" s="39"/>
    </x:row>
    <x:row r="68">
      <x:c r="A68" s="197"/>
      <x:c r="B68" s="197"/>
      <x:c r="C68" s="197"/>
      <x:c r="D68" s="198" t="n">
        <x:f>C68*Impostazioni!$B$11</x:f>
        <x:v>0</x:v>
      </x:c>
      <x:c r="E68" s="197"/>
      <x:c r="F68" s="198" t="n">
        <x:f>Impostazioni!$B$4</x:f>
        <x:v>40</x:v>
      </x:c>
      <x:c r="G68" s="198" t="n">
        <x:f>E68*F68</x:f>
        <x:v>0</x:v>
      </x:c>
      <x:c r="H68" s="197"/>
      <x:c r="I68" s="197"/>
      <x:c r="J68" s="198" t="n">
        <x:f>D68+G68+H68</x:f>
        <x:v>0</x:v>
      </x:c>
      <x:c r="K68" s="198" t="n">
        <x:f>I68-J68</x:f>
        <x:v>0</x:v>
      </x:c>
      <x:c r="L68" s="197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  <x:c r="AA68" s="39"/>
      <x:c r="AB68" s="39"/>
      <x:c r="AC68" s="39"/>
      <x:c r="AD68" s="39"/>
      <x:c r="AE68" s="39"/>
      <x:c r="AF68" s="39"/>
      <x:c r="AG68" s="39"/>
    </x:row>
    <x:row r="69">
      <x:c r="A69" s="197"/>
      <x:c r="B69" s="197"/>
      <x:c r="C69" s="197"/>
      <x:c r="D69" s="198" t="n">
        <x:f>C69*Impostazioni!$B$11</x:f>
        <x:v>0</x:v>
      </x:c>
      <x:c r="E69" s="197"/>
      <x:c r="F69" s="198" t="n">
        <x:f>Impostazioni!$B$4</x:f>
        <x:v>40</x:v>
      </x:c>
      <x:c r="G69" s="198" t="n">
        <x:f>E69*F69</x:f>
        <x:v>0</x:v>
      </x:c>
      <x:c r="H69" s="197"/>
      <x:c r="I69" s="197"/>
      <x:c r="J69" s="198" t="n">
        <x:f>D69+G69+H69</x:f>
        <x:v>0</x:v>
      </x:c>
      <x:c r="K69" s="198" t="n">
        <x:f>I69-J69</x:f>
        <x:v>0</x:v>
      </x:c>
      <x:c r="L69" s="197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  <x:c r="AA69" s="39"/>
      <x:c r="AB69" s="39"/>
      <x:c r="AC69" s="39"/>
      <x:c r="AD69" s="39"/>
      <x:c r="AE69" s="39"/>
      <x:c r="AF69" s="39"/>
      <x:c r="AG69" s="39"/>
    </x:row>
    <x:row r="70">
      <x:c r="A70" s="197"/>
      <x:c r="B70" s="197"/>
      <x:c r="C70" s="197"/>
      <x:c r="D70" s="198" t="n">
        <x:f>C70*Impostazioni!$B$11</x:f>
        <x:v>0</x:v>
      </x:c>
      <x:c r="E70" s="197"/>
      <x:c r="F70" s="198" t="n">
        <x:f>Impostazioni!$B$4</x:f>
        <x:v>40</x:v>
      </x:c>
      <x:c r="G70" s="198" t="n">
        <x:f>E70*F70</x:f>
        <x:v>0</x:v>
      </x:c>
      <x:c r="H70" s="197"/>
      <x:c r="I70" s="197"/>
      <x:c r="J70" s="198" t="n">
        <x:f>D70+G70+H70</x:f>
        <x:v>0</x:v>
      </x:c>
      <x:c r="K70" s="198" t="n">
        <x:f>I70-J70</x:f>
        <x:v>0</x:v>
      </x:c>
      <x:c r="L70" s="197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  <x:c r="AA70" s="39"/>
      <x:c r="AB70" s="39"/>
      <x:c r="AC70" s="39"/>
      <x:c r="AD70" s="39"/>
      <x:c r="AE70" s="39"/>
      <x:c r="AF70" s="39"/>
      <x:c r="AG70" s="39"/>
    </x:row>
    <x:row r="71">
      <x:c r="A71" s="197"/>
      <x:c r="B71" s="197"/>
      <x:c r="C71" s="197"/>
      <x:c r="D71" s="198" t="n">
        <x:f>C71*Impostazioni!$B$11</x:f>
        <x:v>0</x:v>
      </x:c>
      <x:c r="E71" s="197"/>
      <x:c r="F71" s="198" t="n">
        <x:f>Impostazioni!$B$4</x:f>
        <x:v>40</x:v>
      </x:c>
      <x:c r="G71" s="198" t="n">
        <x:f>E71*F71</x:f>
        <x:v>0</x:v>
      </x:c>
      <x:c r="H71" s="197"/>
      <x:c r="I71" s="197"/>
      <x:c r="J71" s="198" t="n">
        <x:f>D71+G71+H71</x:f>
        <x:v>0</x:v>
      </x:c>
      <x:c r="K71" s="198" t="n">
        <x:f>I71-J71</x:f>
        <x:v>0</x:v>
      </x:c>
      <x:c r="L71" s="197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  <x:c r="AA71" s="39"/>
      <x:c r="AB71" s="39"/>
      <x:c r="AC71" s="39"/>
      <x:c r="AD71" s="39"/>
      <x:c r="AE71" s="39"/>
      <x:c r="AF71" s="39"/>
      <x:c r="AG71" s="39"/>
    </x:row>
    <x:row r="72">
      <x:c r="A72" s="197"/>
      <x:c r="B72" s="197"/>
      <x:c r="C72" s="197"/>
      <x:c r="D72" s="198" t="n">
        <x:f>C72*Impostazioni!$B$11</x:f>
        <x:v>0</x:v>
      </x:c>
      <x:c r="E72" s="197"/>
      <x:c r="F72" s="198" t="n">
        <x:f>Impostazioni!$B$4</x:f>
        <x:v>40</x:v>
      </x:c>
      <x:c r="G72" s="198" t="n">
        <x:f>E72*F72</x:f>
        <x:v>0</x:v>
      </x:c>
      <x:c r="H72" s="197"/>
      <x:c r="I72" s="197"/>
      <x:c r="J72" s="198" t="n">
        <x:f>D72+G72+H72</x:f>
        <x:v>0</x:v>
      </x:c>
      <x:c r="K72" s="198" t="n">
        <x:f>I72-J72</x:f>
        <x:v>0</x:v>
      </x:c>
      <x:c r="L72" s="197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  <x:c r="AA72" s="39"/>
      <x:c r="AB72" s="39"/>
      <x:c r="AC72" s="39"/>
      <x:c r="AD72" s="39"/>
      <x:c r="AE72" s="39"/>
      <x:c r="AF72" s="39"/>
      <x:c r="AG72" s="39"/>
    </x:row>
    <x:row r="73">
      <x:c r="A73" s="197"/>
      <x:c r="B73" s="197"/>
      <x:c r="C73" s="197"/>
      <x:c r="D73" s="198" t="n">
        <x:f>C73*Impostazioni!$B$11</x:f>
        <x:v>0</x:v>
      </x:c>
      <x:c r="E73" s="197"/>
      <x:c r="F73" s="198" t="n">
        <x:f>Impostazioni!$B$4</x:f>
        <x:v>40</x:v>
      </x:c>
      <x:c r="G73" s="198" t="n">
        <x:f>E73*F73</x:f>
        <x:v>0</x:v>
      </x:c>
      <x:c r="H73" s="197"/>
      <x:c r="I73" s="197"/>
      <x:c r="J73" s="198" t="n">
        <x:f>D73+G73+H73</x:f>
        <x:v>0</x:v>
      </x:c>
      <x:c r="K73" s="198" t="n">
        <x:f>I73-J73</x:f>
        <x:v>0</x:v>
      </x:c>
      <x:c r="L73" s="197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  <x:c r="AA73" s="39"/>
      <x:c r="AB73" s="39"/>
      <x:c r="AC73" s="39"/>
      <x:c r="AD73" s="39"/>
      <x:c r="AE73" s="39"/>
      <x:c r="AF73" s="39"/>
      <x:c r="AG73" s="39"/>
    </x:row>
    <x:row r="74">
      <x:c r="A74" s="197"/>
      <x:c r="B74" s="197"/>
      <x:c r="C74" s="197"/>
      <x:c r="D74" s="198" t="n">
        <x:f>C74*Impostazioni!$B$11</x:f>
        <x:v>0</x:v>
      </x:c>
      <x:c r="E74" s="197"/>
      <x:c r="F74" s="198" t="n">
        <x:f>Impostazioni!$B$4</x:f>
        <x:v>40</x:v>
      </x:c>
      <x:c r="G74" s="198" t="n">
        <x:f>E74*F74</x:f>
        <x:v>0</x:v>
      </x:c>
      <x:c r="H74" s="197"/>
      <x:c r="I74" s="197"/>
      <x:c r="J74" s="198" t="n">
        <x:f>D74+G74+H74</x:f>
        <x:v>0</x:v>
      </x:c>
      <x:c r="K74" s="198" t="n">
        <x:f>I74-J74</x:f>
        <x:v>0</x:v>
      </x:c>
      <x:c r="L74" s="197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  <x:c r="AA74" s="39"/>
      <x:c r="AB74" s="39"/>
      <x:c r="AC74" s="39"/>
      <x:c r="AD74" s="39"/>
      <x:c r="AE74" s="39"/>
      <x:c r="AF74" s="39"/>
      <x:c r="AG74" s="39"/>
    </x:row>
    <x:row r="75">
      <x:c r="A75" s="197"/>
      <x:c r="B75" s="197"/>
      <x:c r="C75" s="197"/>
      <x:c r="D75" s="198" t="n">
        <x:f>C75*Impostazioni!$B$11</x:f>
        <x:v>0</x:v>
      </x:c>
      <x:c r="E75" s="197"/>
      <x:c r="F75" s="198" t="n">
        <x:f>Impostazioni!$B$4</x:f>
        <x:v>40</x:v>
      </x:c>
      <x:c r="G75" s="198" t="n">
        <x:f>E75*F75</x:f>
        <x:v>0</x:v>
      </x:c>
      <x:c r="H75" s="197"/>
      <x:c r="I75" s="197"/>
      <x:c r="J75" s="198" t="n">
        <x:f>D75+G75+H75</x:f>
        <x:v>0</x:v>
      </x:c>
      <x:c r="K75" s="198" t="n">
        <x:f>I75-J75</x:f>
        <x:v>0</x:v>
      </x:c>
      <x:c r="L75" s="197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  <x:c r="AA75" s="39"/>
      <x:c r="AB75" s="39"/>
      <x:c r="AC75" s="39"/>
      <x:c r="AD75" s="39"/>
      <x:c r="AE75" s="39"/>
      <x:c r="AF75" s="39"/>
      <x:c r="AG75" s="39"/>
    </x:row>
    <x:row r="76">
      <x:c r="A76" s="197"/>
      <x:c r="B76" s="197"/>
      <x:c r="C76" s="197"/>
      <x:c r="D76" s="198" t="n">
        <x:f>C76*Impostazioni!$B$11</x:f>
        <x:v>0</x:v>
      </x:c>
      <x:c r="E76" s="197"/>
      <x:c r="F76" s="198" t="n">
        <x:f>Impostazioni!$B$4</x:f>
        <x:v>40</x:v>
      </x:c>
      <x:c r="G76" s="198" t="n">
        <x:f>E76*F76</x:f>
        <x:v>0</x:v>
      </x:c>
      <x:c r="H76" s="197"/>
      <x:c r="I76" s="197"/>
      <x:c r="J76" s="198" t="n">
        <x:f>D76+G76+H76</x:f>
        <x:v>0</x:v>
      </x:c>
      <x:c r="K76" s="198" t="n">
        <x:f>I76-J76</x:f>
        <x:v>0</x:v>
      </x:c>
      <x:c r="L76" s="197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  <x:c r="AA76" s="39"/>
      <x:c r="AB76" s="39"/>
      <x:c r="AC76" s="39"/>
      <x:c r="AD76" s="39"/>
      <x:c r="AE76" s="39"/>
      <x:c r="AF76" s="39"/>
      <x:c r="AG76" s="39"/>
    </x:row>
    <x:row r="77">
      <x:c r="A77" s="197"/>
      <x:c r="B77" s="197"/>
      <x:c r="C77" s="197"/>
      <x:c r="D77" s="198" t="n">
        <x:f>C77*Impostazioni!$B$11</x:f>
        <x:v>0</x:v>
      </x:c>
      <x:c r="E77" s="197"/>
      <x:c r="F77" s="198" t="n">
        <x:f>Impostazioni!$B$4</x:f>
        <x:v>40</x:v>
      </x:c>
      <x:c r="G77" s="198" t="n">
        <x:f>E77*F77</x:f>
        <x:v>0</x:v>
      </x:c>
      <x:c r="H77" s="197"/>
      <x:c r="I77" s="197"/>
      <x:c r="J77" s="198" t="n">
        <x:f>D77+G77+H77</x:f>
        <x:v>0</x:v>
      </x:c>
      <x:c r="K77" s="198" t="n">
        <x:f>I77-J77</x:f>
        <x:v>0</x:v>
      </x:c>
      <x:c r="L77" s="197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  <x:c r="AA77" s="39"/>
      <x:c r="AB77" s="39"/>
      <x:c r="AC77" s="39"/>
      <x:c r="AD77" s="39"/>
      <x:c r="AE77" s="39"/>
      <x:c r="AF77" s="39"/>
      <x:c r="AG77" s="39"/>
    </x:row>
    <x:row r="78">
      <x:c r="A78" s="197"/>
      <x:c r="B78" s="197"/>
      <x:c r="C78" s="197"/>
      <x:c r="D78" s="198" t="n">
        <x:f>C78*Impostazioni!$B$11</x:f>
        <x:v>0</x:v>
      </x:c>
      <x:c r="E78" s="197"/>
      <x:c r="F78" s="198" t="n">
        <x:f>Impostazioni!$B$4</x:f>
        <x:v>40</x:v>
      </x:c>
      <x:c r="G78" s="198" t="n">
        <x:f>E78*F78</x:f>
        <x:v>0</x:v>
      </x:c>
      <x:c r="H78" s="197"/>
      <x:c r="I78" s="197"/>
      <x:c r="J78" s="198" t="n">
        <x:f>D78+G78+H78</x:f>
        <x:v>0</x:v>
      </x:c>
      <x:c r="K78" s="198" t="n">
        <x:f>I78-J78</x:f>
        <x:v>0</x:v>
      </x:c>
      <x:c r="L78" s="197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  <x:c r="AA78" s="39"/>
      <x:c r="AB78" s="39"/>
      <x:c r="AC78" s="39"/>
      <x:c r="AD78" s="39"/>
      <x:c r="AE78" s="39"/>
      <x:c r="AF78" s="39"/>
      <x:c r="AG78" s="39"/>
    </x:row>
    <x:row r="79">
      <x:c r="A79" s="197"/>
      <x:c r="B79" s="197"/>
      <x:c r="C79" s="197"/>
      <x:c r="D79" s="198" t="n">
        <x:f>C79*Impostazioni!$B$11</x:f>
        <x:v>0</x:v>
      </x:c>
      <x:c r="E79" s="197"/>
      <x:c r="F79" s="198" t="n">
        <x:f>Impostazioni!$B$4</x:f>
        <x:v>40</x:v>
      </x:c>
      <x:c r="G79" s="198" t="n">
        <x:f>E79*F79</x:f>
        <x:v>0</x:v>
      </x:c>
      <x:c r="H79" s="197"/>
      <x:c r="I79" s="197"/>
      <x:c r="J79" s="198" t="n">
        <x:f>D79+G79+H79</x:f>
        <x:v>0</x:v>
      </x:c>
      <x:c r="K79" s="198" t="n">
        <x:f>I79-J79</x:f>
        <x:v>0</x:v>
      </x:c>
      <x:c r="L79" s="197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  <x:c r="AA79" s="39"/>
      <x:c r="AB79" s="39"/>
      <x:c r="AC79" s="39"/>
      <x:c r="AD79" s="39"/>
      <x:c r="AE79" s="39"/>
      <x:c r="AF79" s="39"/>
      <x:c r="AG79" s="39"/>
    </x:row>
    <x:row r="80">
      <x:c r="A80" s="197"/>
      <x:c r="B80" s="197"/>
      <x:c r="C80" s="197"/>
      <x:c r="D80" s="198" t="n">
        <x:f>C80*Impostazioni!$B$11</x:f>
        <x:v>0</x:v>
      </x:c>
      <x:c r="E80" s="197"/>
      <x:c r="F80" s="198" t="n">
        <x:f>Impostazioni!$B$4</x:f>
        <x:v>40</x:v>
      </x:c>
      <x:c r="G80" s="198" t="n">
        <x:f>E80*F80</x:f>
        <x:v>0</x:v>
      </x:c>
      <x:c r="H80" s="197"/>
      <x:c r="I80" s="197"/>
      <x:c r="J80" s="198" t="n">
        <x:f>D80+G80+H80</x:f>
        <x:v>0</x:v>
      </x:c>
      <x:c r="K80" s="198" t="n">
        <x:f>I80-J80</x:f>
        <x:v>0</x:v>
      </x:c>
      <x:c r="L80" s="197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  <x:c r="AA80" s="39"/>
      <x:c r="AB80" s="39"/>
      <x:c r="AC80" s="39"/>
      <x:c r="AD80" s="39"/>
      <x:c r="AE80" s="39"/>
      <x:c r="AF80" s="39"/>
      <x:c r="AG80" s="39"/>
    </x:row>
    <x:row r="81">
      <x:c r="A81" s="197"/>
      <x:c r="B81" s="197"/>
      <x:c r="C81" s="197"/>
      <x:c r="D81" s="198" t="n">
        <x:f>C81*Impostazioni!$B$11</x:f>
        <x:v>0</x:v>
      </x:c>
      <x:c r="E81" s="197"/>
      <x:c r="F81" s="198" t="n">
        <x:f>Impostazioni!$B$4</x:f>
        <x:v>40</x:v>
      </x:c>
      <x:c r="G81" s="198" t="n">
        <x:f>E81*F81</x:f>
        <x:v>0</x:v>
      </x:c>
      <x:c r="H81" s="197"/>
      <x:c r="I81" s="197"/>
      <x:c r="J81" s="198" t="n">
        <x:f>D81+G81+H81</x:f>
        <x:v>0</x:v>
      </x:c>
      <x:c r="K81" s="198" t="n">
        <x:f>I81-J81</x:f>
        <x:v>0</x:v>
      </x:c>
      <x:c r="L81" s="197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  <x:c r="AA81" s="39"/>
      <x:c r="AB81" s="39"/>
      <x:c r="AC81" s="39"/>
      <x:c r="AD81" s="39"/>
      <x:c r="AE81" s="39"/>
      <x:c r="AF81" s="39"/>
      <x:c r="AG81" s="39"/>
    </x:row>
    <x:row r="82">
      <x:c r="A82" s="197"/>
      <x:c r="B82" s="197"/>
      <x:c r="C82" s="197"/>
      <x:c r="D82" s="198" t="n">
        <x:f>C82*Impostazioni!$B$11</x:f>
        <x:v>0</x:v>
      </x:c>
      <x:c r="E82" s="197"/>
      <x:c r="F82" s="198" t="n">
        <x:f>Impostazioni!$B$4</x:f>
        <x:v>40</x:v>
      </x:c>
      <x:c r="G82" s="198" t="n">
        <x:f>E82*F82</x:f>
        <x:v>0</x:v>
      </x:c>
      <x:c r="H82" s="197"/>
      <x:c r="I82" s="197"/>
      <x:c r="J82" s="198" t="n">
        <x:f>D82+G82+H82</x:f>
        <x:v>0</x:v>
      </x:c>
      <x:c r="K82" s="198" t="n">
        <x:f>I82-J82</x:f>
        <x:v>0</x:v>
      </x:c>
      <x:c r="L82" s="197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  <x:c r="AA82" s="39"/>
      <x:c r="AB82" s="39"/>
      <x:c r="AC82" s="39"/>
      <x:c r="AD82" s="39"/>
      <x:c r="AE82" s="39"/>
      <x:c r="AF82" s="39"/>
      <x:c r="AG82" s="39"/>
    </x:row>
    <x:row r="83">
      <x:c r="A83" s="197"/>
      <x:c r="B83" s="197"/>
      <x:c r="C83" s="197"/>
      <x:c r="D83" s="198" t="n">
        <x:f>C83*Impostazioni!$B$11</x:f>
        <x:v>0</x:v>
      </x:c>
      <x:c r="E83" s="197"/>
      <x:c r="F83" s="198" t="n">
        <x:f>Impostazioni!$B$4</x:f>
        <x:v>40</x:v>
      </x:c>
      <x:c r="G83" s="198" t="n">
        <x:f>E83*F83</x:f>
        <x:v>0</x:v>
      </x:c>
      <x:c r="H83" s="197"/>
      <x:c r="I83" s="197"/>
      <x:c r="J83" s="198" t="n">
        <x:f>D83+G83+H83</x:f>
        <x:v>0</x:v>
      </x:c>
      <x:c r="K83" s="198" t="n">
        <x:f>I83-J83</x:f>
        <x:v>0</x:v>
      </x:c>
      <x:c r="L83" s="197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  <x:c r="AA83" s="39"/>
      <x:c r="AB83" s="39"/>
      <x:c r="AC83" s="39"/>
      <x:c r="AD83" s="39"/>
      <x:c r="AE83" s="39"/>
      <x:c r="AF83" s="39"/>
      <x:c r="AG83" s="39"/>
    </x:row>
    <x:row r="84">
      <x:c r="A84" s="197"/>
      <x:c r="B84" s="197"/>
      <x:c r="C84" s="197"/>
      <x:c r="D84" s="198" t="n">
        <x:f>C84*Impostazioni!$B$11</x:f>
        <x:v>0</x:v>
      </x:c>
      <x:c r="E84" s="197"/>
      <x:c r="F84" s="198" t="n">
        <x:f>Impostazioni!$B$4</x:f>
        <x:v>40</x:v>
      </x:c>
      <x:c r="G84" s="198" t="n">
        <x:f>E84*F84</x:f>
        <x:v>0</x:v>
      </x:c>
      <x:c r="H84" s="197"/>
      <x:c r="I84" s="197"/>
      <x:c r="J84" s="198" t="n">
        <x:f>D84+G84+H84</x:f>
        <x:v>0</x:v>
      </x:c>
      <x:c r="K84" s="198" t="n">
        <x:f>I84-J84</x:f>
        <x:v>0</x:v>
      </x:c>
      <x:c r="L84" s="197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  <x:c r="AA84" s="39"/>
      <x:c r="AB84" s="39"/>
      <x:c r="AC84" s="39"/>
      <x:c r="AD84" s="39"/>
      <x:c r="AE84" s="39"/>
      <x:c r="AF84" s="39"/>
      <x:c r="AG84" s="39"/>
    </x:row>
    <x:row r="85">
      <x:c r="A85" s="197"/>
      <x:c r="B85" s="197"/>
      <x:c r="C85" s="197"/>
      <x:c r="D85" s="198" t="n">
        <x:f>C85*Impostazioni!$B$11</x:f>
        <x:v>0</x:v>
      </x:c>
      <x:c r="E85" s="197"/>
      <x:c r="F85" s="198" t="n">
        <x:f>Impostazioni!$B$4</x:f>
        <x:v>40</x:v>
      </x:c>
      <x:c r="G85" s="198" t="n">
        <x:f>E85*F85</x:f>
        <x:v>0</x:v>
      </x:c>
      <x:c r="H85" s="197"/>
      <x:c r="I85" s="197"/>
      <x:c r="J85" s="198" t="n">
        <x:f>D85+G85+H85</x:f>
        <x:v>0</x:v>
      </x:c>
      <x:c r="K85" s="198" t="n">
        <x:f>I85-J85</x:f>
        <x:v>0</x:v>
      </x:c>
      <x:c r="L85" s="197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  <x:c r="AA85" s="39"/>
      <x:c r="AB85" s="39"/>
      <x:c r="AC85" s="39"/>
      <x:c r="AD85" s="39"/>
      <x:c r="AE85" s="39"/>
      <x:c r="AF85" s="39"/>
      <x:c r="AG85" s="39"/>
    </x:row>
    <x:row r="86">
      <x:c r="A86" s="197"/>
      <x:c r="B86" s="197"/>
      <x:c r="C86" s="197"/>
      <x:c r="D86" s="198" t="n">
        <x:f>C86*Impostazioni!$B$11</x:f>
        <x:v>0</x:v>
      </x:c>
      <x:c r="E86" s="197"/>
      <x:c r="F86" s="198" t="n">
        <x:f>Impostazioni!$B$4</x:f>
        <x:v>40</x:v>
      </x:c>
      <x:c r="G86" s="198" t="n">
        <x:f>E86*F86</x:f>
        <x:v>0</x:v>
      </x:c>
      <x:c r="H86" s="197"/>
      <x:c r="I86" s="197"/>
      <x:c r="J86" s="198" t="n">
        <x:f>D86+G86+H86</x:f>
        <x:v>0</x:v>
      </x:c>
      <x:c r="K86" s="198" t="n">
        <x:f>I86-J86</x:f>
        <x:v>0</x:v>
      </x:c>
      <x:c r="L86" s="197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  <x:c r="AA86" s="39"/>
      <x:c r="AB86" s="39"/>
      <x:c r="AC86" s="39"/>
      <x:c r="AD86" s="39"/>
      <x:c r="AE86" s="39"/>
      <x:c r="AF86" s="39"/>
      <x:c r="AG86" s="39"/>
    </x:row>
    <x:row r="87">
      <x:c r="A87" s="197"/>
      <x:c r="B87" s="197"/>
      <x:c r="C87" s="197"/>
      <x:c r="D87" s="198" t="n">
        <x:f>C87*Impostazioni!$B$11</x:f>
        <x:v>0</x:v>
      </x:c>
      <x:c r="E87" s="197"/>
      <x:c r="F87" s="198" t="n">
        <x:f>Impostazioni!$B$4</x:f>
        <x:v>40</x:v>
      </x:c>
      <x:c r="G87" s="198" t="n">
        <x:f>E87*F87</x:f>
        <x:v>0</x:v>
      </x:c>
      <x:c r="H87" s="197"/>
      <x:c r="I87" s="197"/>
      <x:c r="J87" s="198" t="n">
        <x:f>D87+G87+H87</x:f>
        <x:v>0</x:v>
      </x:c>
      <x:c r="K87" s="198" t="n">
        <x:f>I87-J87</x:f>
        <x:v>0</x:v>
      </x:c>
      <x:c r="L87" s="197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  <x:c r="AA87" s="39"/>
      <x:c r="AB87" s="39"/>
      <x:c r="AC87" s="39"/>
      <x:c r="AD87" s="39"/>
      <x:c r="AE87" s="39"/>
      <x:c r="AF87" s="39"/>
      <x:c r="AG87" s="39"/>
    </x:row>
    <x:row r="88">
      <x:c r="A88" s="197"/>
      <x:c r="B88" s="197"/>
      <x:c r="C88" s="197"/>
      <x:c r="D88" s="198" t="n">
        <x:f>C88*Impostazioni!$B$11</x:f>
        <x:v>0</x:v>
      </x:c>
      <x:c r="E88" s="197"/>
      <x:c r="F88" s="198" t="n">
        <x:f>Impostazioni!$B$4</x:f>
        <x:v>40</x:v>
      </x:c>
      <x:c r="G88" s="198" t="n">
        <x:f>E88*F88</x:f>
        <x:v>0</x:v>
      </x:c>
      <x:c r="H88" s="197"/>
      <x:c r="I88" s="197"/>
      <x:c r="J88" s="198" t="n">
        <x:f>D88+G88+H88</x:f>
        <x:v>0</x:v>
      </x:c>
      <x:c r="K88" s="198" t="n">
        <x:f>I88-J88</x:f>
        <x:v>0</x:v>
      </x:c>
      <x:c r="L88" s="197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  <x:c r="AA88" s="39"/>
      <x:c r="AB88" s="39"/>
      <x:c r="AC88" s="39"/>
      <x:c r="AD88" s="39"/>
      <x:c r="AE88" s="39"/>
      <x:c r="AF88" s="39"/>
      <x:c r="AG88" s="39"/>
    </x:row>
    <x:row r="89">
      <x:c r="A89" s="197"/>
      <x:c r="B89" s="197"/>
      <x:c r="C89" s="197"/>
      <x:c r="D89" s="198" t="n">
        <x:f>C89*Impostazioni!$B$11</x:f>
        <x:v>0</x:v>
      </x:c>
      <x:c r="E89" s="197"/>
      <x:c r="F89" s="198" t="n">
        <x:f>Impostazioni!$B$4</x:f>
        <x:v>40</x:v>
      </x:c>
      <x:c r="G89" s="198" t="n">
        <x:f>E89*F89</x:f>
        <x:v>0</x:v>
      </x:c>
      <x:c r="H89" s="197"/>
      <x:c r="I89" s="197"/>
      <x:c r="J89" s="198" t="n">
        <x:f>D89+G89+H89</x:f>
        <x:v>0</x:v>
      </x:c>
      <x:c r="K89" s="198" t="n">
        <x:f>I89-J89</x:f>
        <x:v>0</x:v>
      </x:c>
      <x:c r="L89" s="197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  <x:c r="AA89" s="39"/>
      <x:c r="AB89" s="39"/>
      <x:c r="AC89" s="39"/>
      <x:c r="AD89" s="39"/>
      <x:c r="AE89" s="39"/>
      <x:c r="AF89" s="39"/>
      <x:c r="AG89" s="39"/>
    </x:row>
    <x:row r="90">
      <x:c r="A90" s="197"/>
      <x:c r="B90" s="197"/>
      <x:c r="C90" s="197"/>
      <x:c r="D90" s="198" t="n">
        <x:f>C90*Impostazioni!$B$11</x:f>
        <x:v>0</x:v>
      </x:c>
      <x:c r="E90" s="197"/>
      <x:c r="F90" s="198" t="n">
        <x:f>Impostazioni!$B$4</x:f>
        <x:v>40</x:v>
      </x:c>
      <x:c r="G90" s="198" t="n">
        <x:f>E90*F90</x:f>
        <x:v>0</x:v>
      </x:c>
      <x:c r="H90" s="197"/>
      <x:c r="I90" s="197"/>
      <x:c r="J90" s="198" t="n">
        <x:f>D90+G90+H90</x:f>
        <x:v>0</x:v>
      </x:c>
      <x:c r="K90" s="198" t="n">
        <x:f>I90-J90</x:f>
        <x:v>0</x:v>
      </x:c>
      <x:c r="L90" s="197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  <x:c r="AA90" s="39"/>
      <x:c r="AB90" s="39"/>
      <x:c r="AC90" s="39"/>
      <x:c r="AD90" s="39"/>
      <x:c r="AE90" s="39"/>
      <x:c r="AF90" s="39"/>
      <x:c r="AG90" s="39"/>
    </x:row>
    <x:row r="91">
      <x:c r="A91" s="197"/>
      <x:c r="B91" s="197"/>
      <x:c r="C91" s="197"/>
      <x:c r="D91" s="198" t="n">
        <x:f>C91*Impostazioni!$B$11</x:f>
        <x:v>0</x:v>
      </x:c>
      <x:c r="E91" s="197"/>
      <x:c r="F91" s="198" t="n">
        <x:f>Impostazioni!$B$4</x:f>
        <x:v>40</x:v>
      </x:c>
      <x:c r="G91" s="198" t="n">
        <x:f>E91*F91</x:f>
        <x:v>0</x:v>
      </x:c>
      <x:c r="H91" s="197"/>
      <x:c r="I91" s="197"/>
      <x:c r="J91" s="198" t="n">
        <x:f>D91+G91+H91</x:f>
        <x:v>0</x:v>
      </x:c>
      <x:c r="K91" s="198" t="n">
        <x:f>I91-J91</x:f>
        <x:v>0</x:v>
      </x:c>
      <x:c r="L91" s="197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  <x:c r="AA91" s="39"/>
      <x:c r="AB91" s="39"/>
      <x:c r="AC91" s="39"/>
      <x:c r="AD91" s="39"/>
      <x:c r="AE91" s="39"/>
      <x:c r="AF91" s="39"/>
      <x:c r="AG91" s="39"/>
    </x:row>
    <x:row r="92">
      <x:c r="A92" s="197"/>
      <x:c r="B92" s="197"/>
      <x:c r="C92" s="197"/>
      <x:c r="D92" s="198" t="n">
        <x:f>C92*Impostazioni!$B$11</x:f>
        <x:v>0</x:v>
      </x:c>
      <x:c r="E92" s="197"/>
      <x:c r="F92" s="198" t="n">
        <x:f>Impostazioni!$B$4</x:f>
        <x:v>40</x:v>
      </x:c>
      <x:c r="G92" s="198" t="n">
        <x:f>E92*F92</x:f>
        <x:v>0</x:v>
      </x:c>
      <x:c r="H92" s="197"/>
      <x:c r="I92" s="197"/>
      <x:c r="J92" s="198" t="n">
        <x:f>D92+G92+H92</x:f>
        <x:v>0</x:v>
      </x:c>
      <x:c r="K92" s="198" t="n">
        <x:f>I92-J92</x:f>
        <x:v>0</x:v>
      </x:c>
      <x:c r="L92" s="197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  <x:c r="AA92" s="39"/>
      <x:c r="AB92" s="39"/>
      <x:c r="AC92" s="39"/>
      <x:c r="AD92" s="39"/>
      <x:c r="AE92" s="39"/>
      <x:c r="AF92" s="39"/>
      <x:c r="AG92" s="39"/>
    </x:row>
    <x:row r="93">
      <x:c r="A93" s="197"/>
      <x:c r="B93" s="197"/>
      <x:c r="C93" s="197"/>
      <x:c r="D93" s="198" t="n">
        <x:f>C93*Impostazioni!$B$11</x:f>
        <x:v>0</x:v>
      </x:c>
      <x:c r="E93" s="197"/>
      <x:c r="F93" s="198" t="n">
        <x:f>Impostazioni!$B$4</x:f>
        <x:v>40</x:v>
      </x:c>
      <x:c r="G93" s="198" t="n">
        <x:f>E93*F93</x:f>
        <x:v>0</x:v>
      </x:c>
      <x:c r="H93" s="197"/>
      <x:c r="I93" s="197"/>
      <x:c r="J93" s="198" t="n">
        <x:f>D93+G93+H93</x:f>
        <x:v>0</x:v>
      </x:c>
      <x:c r="K93" s="198" t="n">
        <x:f>I93-J93</x:f>
        <x:v>0</x:v>
      </x:c>
      <x:c r="L93" s="197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  <x:c r="AA93" s="39"/>
      <x:c r="AB93" s="39"/>
      <x:c r="AC93" s="39"/>
      <x:c r="AD93" s="39"/>
      <x:c r="AE93" s="39"/>
      <x:c r="AF93" s="39"/>
      <x:c r="AG93" s="39"/>
    </x:row>
    <x:row r="94">
      <x:c r="A94" s="197"/>
      <x:c r="B94" s="197"/>
      <x:c r="C94" s="197"/>
      <x:c r="D94" s="198" t="n">
        <x:f>C94*Impostazioni!$B$11</x:f>
        <x:v>0</x:v>
      </x:c>
      <x:c r="E94" s="197"/>
      <x:c r="F94" s="198" t="n">
        <x:f>Impostazioni!$B$4</x:f>
        <x:v>40</x:v>
      </x:c>
      <x:c r="G94" s="198" t="n">
        <x:f>E94*F94</x:f>
        <x:v>0</x:v>
      </x:c>
      <x:c r="H94" s="197"/>
      <x:c r="I94" s="197"/>
      <x:c r="J94" s="198" t="n">
        <x:f>D94+G94+H94</x:f>
        <x:v>0</x:v>
      </x:c>
      <x:c r="K94" s="198" t="n">
        <x:f>I94-J94</x:f>
        <x:v>0</x:v>
      </x:c>
      <x:c r="L94" s="197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  <x:c r="AA94" s="39"/>
      <x:c r="AB94" s="39"/>
      <x:c r="AC94" s="39"/>
      <x:c r="AD94" s="39"/>
      <x:c r="AE94" s="39"/>
      <x:c r="AF94" s="39"/>
      <x:c r="AG94" s="39"/>
    </x:row>
    <x:row r="95">
      <x:c r="A95" s="197"/>
      <x:c r="B95" s="197"/>
      <x:c r="C95" s="197"/>
      <x:c r="D95" s="198" t="n">
        <x:f>C95*Impostazioni!$B$11</x:f>
        <x:v>0</x:v>
      </x:c>
      <x:c r="E95" s="197"/>
      <x:c r="F95" s="198" t="n">
        <x:f>Impostazioni!$B$4</x:f>
        <x:v>40</x:v>
      </x:c>
      <x:c r="G95" s="198" t="n">
        <x:f>E95*F95</x:f>
        <x:v>0</x:v>
      </x:c>
      <x:c r="H95" s="197"/>
      <x:c r="I95" s="197"/>
      <x:c r="J95" s="198" t="n">
        <x:f>D95+G95+H95</x:f>
        <x:v>0</x:v>
      </x:c>
      <x:c r="K95" s="198" t="n">
        <x:f>I95-J95</x:f>
        <x:v>0</x:v>
      </x:c>
      <x:c r="L95" s="197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  <x:c r="AA95" s="39"/>
      <x:c r="AB95" s="39"/>
      <x:c r="AC95" s="39"/>
      <x:c r="AD95" s="39"/>
      <x:c r="AE95" s="39"/>
      <x:c r="AF95" s="39"/>
      <x:c r="AG95" s="39"/>
    </x:row>
    <x:row r="96">
      <x:c r="A96" s="197"/>
      <x:c r="B96" s="197"/>
      <x:c r="C96" s="197"/>
      <x:c r="D96" s="198" t="n">
        <x:f>C96*Impostazioni!$B$11</x:f>
        <x:v>0</x:v>
      </x:c>
      <x:c r="E96" s="197"/>
      <x:c r="F96" s="198" t="n">
        <x:f>Impostazioni!$B$4</x:f>
        <x:v>40</x:v>
      </x:c>
      <x:c r="G96" s="198" t="n">
        <x:f>E96*F96</x:f>
        <x:v>0</x:v>
      </x:c>
      <x:c r="H96" s="197"/>
      <x:c r="I96" s="197"/>
      <x:c r="J96" s="198" t="n">
        <x:f>D96+G96+H96</x:f>
        <x:v>0</x:v>
      </x:c>
      <x:c r="K96" s="198" t="n">
        <x:f>I96-J96</x:f>
        <x:v>0</x:v>
      </x:c>
      <x:c r="L96" s="197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  <x:c r="AA96" s="39"/>
      <x:c r="AB96" s="39"/>
      <x:c r="AC96" s="39"/>
      <x:c r="AD96" s="39"/>
      <x:c r="AE96" s="39"/>
      <x:c r="AF96" s="39"/>
      <x:c r="AG96" s="39"/>
    </x:row>
    <x:row r="97">
      <x:c r="A97" s="197"/>
      <x:c r="B97" s="197"/>
      <x:c r="C97" s="197"/>
      <x:c r="D97" s="198" t="n">
        <x:f>C97*Impostazioni!$B$11</x:f>
        <x:v>0</x:v>
      </x:c>
      <x:c r="E97" s="197"/>
      <x:c r="F97" s="198" t="n">
        <x:f>Impostazioni!$B$4</x:f>
        <x:v>40</x:v>
      </x:c>
      <x:c r="G97" s="198" t="n">
        <x:f>E97*F97</x:f>
        <x:v>0</x:v>
      </x:c>
      <x:c r="H97" s="197"/>
      <x:c r="I97" s="197"/>
      <x:c r="J97" s="198" t="n">
        <x:f>D97+G97+H97</x:f>
        <x:v>0</x:v>
      </x:c>
      <x:c r="K97" s="198" t="n">
        <x:f>I97-J97</x:f>
        <x:v>0</x:v>
      </x:c>
      <x:c r="L97" s="197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  <x:c r="AA97" s="39"/>
      <x:c r="AB97" s="39"/>
      <x:c r="AC97" s="39"/>
      <x:c r="AD97" s="39"/>
      <x:c r="AE97" s="39"/>
      <x:c r="AF97" s="39"/>
      <x:c r="AG97" s="39"/>
    </x:row>
    <x:row r="98">
      <x:c r="A98" s="197"/>
      <x:c r="B98" s="197"/>
      <x:c r="C98" s="197"/>
      <x:c r="D98" s="198" t="n">
        <x:f>C98*Impostazioni!$B$11</x:f>
        <x:v>0</x:v>
      </x:c>
      <x:c r="E98" s="197"/>
      <x:c r="F98" s="198" t="n">
        <x:f>Impostazioni!$B$4</x:f>
        <x:v>40</x:v>
      </x:c>
      <x:c r="G98" s="198" t="n">
        <x:f>E98*F98</x:f>
        <x:v>0</x:v>
      </x:c>
      <x:c r="H98" s="197"/>
      <x:c r="I98" s="197"/>
      <x:c r="J98" s="198" t="n">
        <x:f>D98+G98+H98</x:f>
        <x:v>0</x:v>
      </x:c>
      <x:c r="K98" s="198" t="n">
        <x:f>I98-J98</x:f>
        <x:v>0</x:v>
      </x:c>
      <x:c r="L98" s="197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  <x:c r="AA98" s="39"/>
      <x:c r="AB98" s="39"/>
      <x:c r="AC98" s="39"/>
      <x:c r="AD98" s="39"/>
      <x:c r="AE98" s="39"/>
      <x:c r="AF98" s="39"/>
      <x:c r="AG98" s="39"/>
    </x:row>
    <x:row r="99">
      <x:c r="A99" s="197"/>
      <x:c r="B99" s="197"/>
      <x:c r="C99" s="197"/>
      <x:c r="D99" s="198" t="n">
        <x:f>C99*Impostazioni!$B$11</x:f>
        <x:v>0</x:v>
      </x:c>
      <x:c r="E99" s="197"/>
      <x:c r="F99" s="198" t="n">
        <x:f>Impostazioni!$B$4</x:f>
        <x:v>40</x:v>
      </x:c>
      <x:c r="G99" s="198" t="n">
        <x:f>E99*F99</x:f>
        <x:v>0</x:v>
      </x:c>
      <x:c r="H99" s="197"/>
      <x:c r="I99" s="197"/>
      <x:c r="J99" s="198" t="n">
        <x:f>D99+G99+H99</x:f>
        <x:v>0</x:v>
      </x:c>
      <x:c r="K99" s="198" t="n">
        <x:f>I99-J99</x:f>
        <x:v>0</x:v>
      </x:c>
      <x:c r="L99" s="197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  <x:c r="AA99" s="39"/>
      <x:c r="AB99" s="39"/>
      <x:c r="AC99" s="39"/>
      <x:c r="AD99" s="39"/>
      <x:c r="AE99" s="39"/>
      <x:c r="AF99" s="39"/>
      <x:c r="AG99" s="39"/>
    </x:row>
    <x:row r="100">
      <x:c r="A100" s="197"/>
      <x:c r="B100" s="197"/>
      <x:c r="C100" s="197"/>
      <x:c r="D100" s="198" t="n">
        <x:f>C100*Impostazioni!$B$11</x:f>
        <x:v>0</x:v>
      </x:c>
      <x:c r="E100" s="197"/>
      <x:c r="F100" s="198" t="n">
        <x:f>Impostazioni!$B$4</x:f>
        <x:v>40</x:v>
      </x:c>
      <x:c r="G100" s="198" t="n">
        <x:f>E100*F100</x:f>
        <x:v>0</x:v>
      </x:c>
      <x:c r="H100" s="197"/>
      <x:c r="I100" s="197"/>
      <x:c r="J100" s="198" t="n">
        <x:f>D100+G100+H100</x:f>
        <x:v>0</x:v>
      </x:c>
      <x:c r="K100" s="198" t="n">
        <x:f>I100-J100</x:f>
        <x:v>0</x:v>
      </x:c>
      <x:c r="L100" s="197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  <x:c r="AA100" s="39"/>
      <x:c r="AB100" s="39"/>
      <x:c r="AC100" s="39"/>
      <x:c r="AD100" s="39"/>
      <x:c r="AE100" s="39"/>
      <x:c r="AF100" s="39"/>
      <x:c r="AG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  <x:c r="AA101" s="39"/>
      <x:c r="AB101" s="39"/>
      <x:c r="AC101" s="39"/>
      <x:c r="AD101" s="39"/>
      <x:c r="AE101" s="39"/>
      <x:c r="AF101" s="39"/>
      <x:c r="AG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  <x:c r="AA102" s="39"/>
      <x:c r="AB102" s="39"/>
      <x:c r="AC102" s="39"/>
      <x:c r="AD102" s="39"/>
      <x:c r="AE102" s="39"/>
      <x:c r="AF102" s="39"/>
      <x:c r="AG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  <x:c r="AA103" s="39"/>
      <x:c r="AB103" s="39"/>
      <x:c r="AC103" s="39"/>
      <x:c r="AD103" s="39"/>
      <x:c r="AE103" s="39"/>
      <x:c r="AF103" s="39"/>
      <x:c r="AG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  <x:c r="AA104" s="39"/>
      <x:c r="AB104" s="39"/>
      <x:c r="AC104" s="39"/>
      <x:c r="AD104" s="39"/>
      <x:c r="AE104" s="39"/>
      <x:c r="AF104" s="39"/>
      <x:c r="AG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  <x:c r="AA105" s="39"/>
      <x:c r="AB105" s="39"/>
      <x:c r="AC105" s="39"/>
      <x:c r="AD105" s="39"/>
      <x:c r="AE105" s="39"/>
      <x:c r="AF105" s="39"/>
      <x:c r="AG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  <x:c r="AA106" s="39"/>
      <x:c r="AB106" s="39"/>
      <x:c r="AC106" s="39"/>
      <x:c r="AD106" s="39"/>
      <x:c r="AE106" s="39"/>
      <x:c r="AF106" s="39"/>
      <x:c r="AG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  <x:c r="AA107" s="39"/>
      <x:c r="AB107" s="39"/>
      <x:c r="AC107" s="39"/>
      <x:c r="AD107" s="39"/>
      <x:c r="AE107" s="39"/>
      <x:c r="AF107" s="39"/>
      <x:c r="AG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  <x:c r="AA108" s="39"/>
      <x:c r="AB108" s="39"/>
      <x:c r="AC108" s="39"/>
      <x:c r="AD108" s="39"/>
      <x:c r="AE108" s="39"/>
      <x:c r="AF108" s="39"/>
      <x:c r="AG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  <x:c r="AA109" s="39"/>
      <x:c r="AB109" s="39"/>
      <x:c r="AC109" s="39"/>
      <x:c r="AD109" s="39"/>
      <x:c r="AE109" s="39"/>
      <x:c r="AF109" s="39"/>
      <x:c r="AG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  <x:c r="AA110" s="39"/>
      <x:c r="AB110" s="39"/>
      <x:c r="AC110" s="39"/>
      <x:c r="AD110" s="39"/>
      <x:c r="AE110" s="39"/>
      <x:c r="AF110" s="39"/>
      <x:c r="AG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  <x:c r="AA111" s="39"/>
      <x:c r="AB111" s="39"/>
      <x:c r="AC111" s="39"/>
      <x:c r="AD111" s="39"/>
      <x:c r="AE111" s="39"/>
      <x:c r="AF111" s="39"/>
      <x:c r="AG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  <x:c r="AA112" s="39"/>
      <x:c r="AB112" s="39"/>
      <x:c r="AC112" s="39"/>
      <x:c r="AD112" s="39"/>
      <x:c r="AE112" s="39"/>
      <x:c r="AF112" s="39"/>
      <x:c r="AG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  <x:c r="AA113" s="39"/>
      <x:c r="AB113" s="39"/>
      <x:c r="AC113" s="39"/>
      <x:c r="AD113" s="39"/>
      <x:c r="AE113" s="39"/>
      <x:c r="AF113" s="39"/>
      <x:c r="AG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  <x:c r="AA114" s="39"/>
      <x:c r="AB114" s="39"/>
      <x:c r="AC114" s="39"/>
      <x:c r="AD114" s="39"/>
      <x:c r="AE114" s="39"/>
      <x:c r="AF114" s="39"/>
      <x:c r="AG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  <x:c r="AA115" s="39"/>
      <x:c r="AB115" s="39"/>
      <x:c r="AC115" s="39"/>
      <x:c r="AD115" s="39"/>
      <x:c r="AE115" s="39"/>
      <x:c r="AF115" s="39"/>
      <x:c r="AG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  <x:c r="AA116" s="39"/>
      <x:c r="AB116" s="39"/>
      <x:c r="AC116" s="39"/>
      <x:c r="AD116" s="39"/>
      <x:c r="AE116" s="39"/>
      <x:c r="AF116" s="39"/>
      <x:c r="AG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  <x:c r="AA117" s="39"/>
      <x:c r="AB117" s="39"/>
      <x:c r="AC117" s="39"/>
      <x:c r="AD117" s="39"/>
      <x:c r="AE117" s="39"/>
      <x:c r="AF117" s="39"/>
      <x:c r="AG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  <x:c r="AA118" s="39"/>
      <x:c r="AB118" s="39"/>
      <x:c r="AC118" s="39"/>
      <x:c r="AD118" s="39"/>
      <x:c r="AE118" s="39"/>
      <x:c r="AF118" s="39"/>
      <x:c r="AG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  <x:c r="AA119" s="39"/>
      <x:c r="AB119" s="39"/>
      <x:c r="AC119" s="39"/>
      <x:c r="AD119" s="39"/>
      <x:c r="AE119" s="39"/>
      <x:c r="AF119" s="39"/>
      <x:c r="AG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  <x:c r="AA120" s="39"/>
      <x:c r="AB120" s="39"/>
      <x:c r="AC120" s="39"/>
      <x:c r="AD120" s="39"/>
      <x:c r="AE120" s="39"/>
      <x:c r="AF120" s="39"/>
      <x:c r="AG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  <x:c r="AA121" s="39"/>
      <x:c r="AB121" s="39"/>
      <x:c r="AC121" s="39"/>
      <x:c r="AD121" s="39"/>
      <x:c r="AE121" s="39"/>
      <x:c r="AF121" s="39"/>
      <x:c r="AG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  <x:c r="AA122" s="39"/>
      <x:c r="AB122" s="39"/>
      <x:c r="AC122" s="39"/>
      <x:c r="AD122" s="39"/>
      <x:c r="AE122" s="39"/>
      <x:c r="AF122" s="39"/>
      <x:c r="AG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  <x:c r="AA123" s="39"/>
      <x:c r="AB123" s="39"/>
      <x:c r="AC123" s="39"/>
      <x:c r="AD123" s="39"/>
      <x:c r="AE123" s="39"/>
      <x:c r="AF123" s="39"/>
      <x:c r="AG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  <x:c r="AA124" s="39"/>
      <x:c r="AB124" s="39"/>
      <x:c r="AC124" s="39"/>
      <x:c r="AD124" s="39"/>
      <x:c r="AE124" s="39"/>
      <x:c r="AF124" s="39"/>
      <x:c r="AG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  <x:c r="AA125" s="39"/>
      <x:c r="AB125" s="39"/>
      <x:c r="AC125" s="39"/>
      <x:c r="AD125" s="39"/>
      <x:c r="AE125" s="39"/>
      <x:c r="AF125" s="39"/>
      <x:c r="AG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  <x:c r="AA126" s="39"/>
      <x:c r="AB126" s="39"/>
      <x:c r="AC126" s="39"/>
      <x:c r="AD126" s="39"/>
      <x:c r="AE126" s="39"/>
      <x:c r="AF126" s="39"/>
      <x:c r="AG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  <x:c r="AA127" s="39"/>
      <x:c r="AB127" s="39"/>
      <x:c r="AC127" s="39"/>
      <x:c r="AD127" s="39"/>
      <x:c r="AE127" s="39"/>
      <x:c r="AF127" s="39"/>
      <x:c r="AG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  <x:c r="AA128" s="39"/>
      <x:c r="AB128" s="39"/>
      <x:c r="AC128" s="39"/>
      <x:c r="AD128" s="39"/>
      <x:c r="AE128" s="39"/>
      <x:c r="AF128" s="39"/>
      <x:c r="AG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  <x:c r="AA129" s="39"/>
      <x:c r="AB129" s="39"/>
      <x:c r="AC129" s="39"/>
      <x:c r="AD129" s="39"/>
      <x:c r="AE129" s="39"/>
      <x:c r="AF129" s="39"/>
      <x:c r="AG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  <x:c r="AA130" s="39"/>
      <x:c r="AB130" s="39"/>
      <x:c r="AC130" s="39"/>
      <x:c r="AD130" s="39"/>
      <x:c r="AE130" s="39"/>
      <x:c r="AF130" s="39"/>
      <x:c r="AG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  <x:c r="AA131" s="39"/>
      <x:c r="AB131" s="39"/>
      <x:c r="AC131" s="39"/>
      <x:c r="AD131" s="39"/>
      <x:c r="AE131" s="39"/>
      <x:c r="AF131" s="39"/>
      <x:c r="AG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  <x:c r="AA132" s="39"/>
      <x:c r="AB132" s="39"/>
      <x:c r="AC132" s="39"/>
      <x:c r="AD132" s="39"/>
      <x:c r="AE132" s="39"/>
      <x:c r="AF132" s="39"/>
      <x:c r="AG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  <x:c r="AA133" s="39"/>
      <x:c r="AB133" s="39"/>
      <x:c r="AC133" s="39"/>
      <x:c r="AD133" s="39"/>
      <x:c r="AE133" s="39"/>
      <x:c r="AF133" s="39"/>
      <x:c r="AG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  <x:c r="AA134" s="39"/>
      <x:c r="AB134" s="39"/>
      <x:c r="AC134" s="39"/>
      <x:c r="AD134" s="39"/>
      <x:c r="AE134" s="39"/>
      <x:c r="AF134" s="39"/>
      <x:c r="AG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  <x:c r="AA135" s="39"/>
      <x:c r="AB135" s="39"/>
      <x:c r="AC135" s="39"/>
      <x:c r="AD135" s="39"/>
      <x:c r="AE135" s="39"/>
      <x:c r="AF135" s="39"/>
      <x:c r="AG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  <x:c r="AA136" s="39"/>
      <x:c r="AB136" s="39"/>
      <x:c r="AC136" s="39"/>
      <x:c r="AD136" s="39"/>
      <x:c r="AE136" s="39"/>
      <x:c r="AF136" s="39"/>
      <x:c r="AG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  <x:c r="AA137" s="39"/>
      <x:c r="AB137" s="39"/>
      <x:c r="AC137" s="39"/>
      <x:c r="AD137" s="39"/>
      <x:c r="AE137" s="39"/>
      <x:c r="AF137" s="39"/>
      <x:c r="AG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  <x:c r="AA138" s="39"/>
      <x:c r="AB138" s="39"/>
      <x:c r="AC138" s="39"/>
      <x:c r="AD138" s="39"/>
      <x:c r="AE138" s="39"/>
      <x:c r="AF138" s="39"/>
      <x:c r="AG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  <x:c r="AA139" s="39"/>
      <x:c r="AB139" s="39"/>
      <x:c r="AC139" s="39"/>
      <x:c r="AD139" s="39"/>
      <x:c r="AE139" s="39"/>
      <x:c r="AF139" s="39"/>
      <x:c r="AG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  <x:c r="AA140" s="39"/>
      <x:c r="AB140" s="39"/>
      <x:c r="AC140" s="39"/>
      <x:c r="AD140" s="39"/>
      <x:c r="AE140" s="39"/>
      <x:c r="AF140" s="39"/>
      <x:c r="AG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  <x:c r="AA141" s="39"/>
      <x:c r="AB141" s="39"/>
      <x:c r="AC141" s="39"/>
      <x:c r="AD141" s="39"/>
      <x:c r="AE141" s="39"/>
      <x:c r="AF141" s="39"/>
      <x:c r="AG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  <x:c r="AA142" s="39"/>
      <x:c r="AB142" s="39"/>
      <x:c r="AC142" s="39"/>
      <x:c r="AD142" s="39"/>
      <x:c r="AE142" s="39"/>
      <x:c r="AF142" s="39"/>
      <x:c r="AG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  <x:c r="AA143" s="39"/>
      <x:c r="AB143" s="39"/>
      <x:c r="AC143" s="39"/>
      <x:c r="AD143" s="39"/>
      <x:c r="AE143" s="39"/>
      <x:c r="AF143" s="39"/>
      <x:c r="AG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  <x:c r="AA144" s="39"/>
      <x:c r="AB144" s="39"/>
      <x:c r="AC144" s="39"/>
      <x:c r="AD144" s="39"/>
      <x:c r="AE144" s="39"/>
      <x:c r="AF144" s="39"/>
      <x:c r="AG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  <x:c r="AA145" s="39"/>
      <x:c r="AB145" s="39"/>
      <x:c r="AC145" s="39"/>
      <x:c r="AD145" s="39"/>
      <x:c r="AE145" s="39"/>
      <x:c r="AF145" s="39"/>
      <x:c r="AG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  <x:c r="AA146" s="39"/>
      <x:c r="AB146" s="39"/>
      <x:c r="AC146" s="39"/>
      <x:c r="AD146" s="39"/>
      <x:c r="AE146" s="39"/>
      <x:c r="AF146" s="39"/>
      <x:c r="AG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  <x:c r="AA147" s="39"/>
      <x:c r="AB147" s="39"/>
      <x:c r="AC147" s="39"/>
      <x:c r="AD147" s="39"/>
      <x:c r="AE147" s="39"/>
      <x:c r="AF147" s="39"/>
      <x:c r="AG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  <x:c r="AA148" s="39"/>
      <x:c r="AB148" s="39"/>
      <x:c r="AC148" s="39"/>
      <x:c r="AD148" s="39"/>
      <x:c r="AE148" s="39"/>
      <x:c r="AF148" s="39"/>
      <x:c r="AG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  <x:c r="AA149" s="39"/>
      <x:c r="AB149" s="39"/>
      <x:c r="AC149" s="39"/>
      <x:c r="AD149" s="39"/>
      <x:c r="AE149" s="39"/>
      <x:c r="AF149" s="39"/>
      <x:c r="AG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  <x:c r="AA150" s="39"/>
      <x:c r="AB150" s="39"/>
      <x:c r="AC150" s="39"/>
      <x:c r="AD150" s="39"/>
      <x:c r="AE150" s="39"/>
      <x:c r="AF150" s="39"/>
      <x:c r="AG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  <x:c r="AA151" s="39"/>
      <x:c r="AB151" s="39"/>
      <x:c r="AC151" s="39"/>
      <x:c r="AD151" s="39"/>
      <x:c r="AE151" s="39"/>
      <x:c r="AF151" s="39"/>
      <x:c r="AG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  <x:c r="AA152" s="39"/>
      <x:c r="AB152" s="39"/>
      <x:c r="AC152" s="39"/>
      <x:c r="AD152" s="39"/>
      <x:c r="AE152" s="39"/>
      <x:c r="AF152" s="39"/>
      <x:c r="AG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  <x:c r="AA153" s="39"/>
      <x:c r="AB153" s="39"/>
      <x:c r="AC153" s="39"/>
      <x:c r="AD153" s="39"/>
      <x:c r="AE153" s="39"/>
      <x:c r="AF153" s="39"/>
      <x:c r="AG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  <x:c r="AA154" s="39"/>
      <x:c r="AB154" s="39"/>
      <x:c r="AC154" s="39"/>
      <x:c r="AD154" s="39"/>
      <x:c r="AE154" s="39"/>
      <x:c r="AF154" s="39"/>
      <x:c r="AG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  <x:c r="AA155" s="39"/>
      <x:c r="AB155" s="39"/>
      <x:c r="AC155" s="39"/>
      <x:c r="AD155" s="39"/>
      <x:c r="AE155" s="39"/>
      <x:c r="AF155" s="39"/>
      <x:c r="AG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  <x:c r="AA156" s="39"/>
      <x:c r="AB156" s="39"/>
      <x:c r="AC156" s="39"/>
      <x:c r="AD156" s="39"/>
      <x:c r="AE156" s="39"/>
      <x:c r="AF156" s="39"/>
      <x:c r="AG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  <x:c r="AA157" s="39"/>
      <x:c r="AB157" s="39"/>
      <x:c r="AC157" s="39"/>
      <x:c r="AD157" s="39"/>
      <x:c r="AE157" s="39"/>
      <x:c r="AF157" s="39"/>
      <x:c r="AG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  <x:c r="AA158" s="39"/>
      <x:c r="AB158" s="39"/>
      <x:c r="AC158" s="39"/>
      <x:c r="AD158" s="39"/>
      <x:c r="AE158" s="39"/>
      <x:c r="AF158" s="39"/>
      <x:c r="AG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  <x:c r="AA159" s="39"/>
      <x:c r="AB159" s="39"/>
      <x:c r="AC159" s="39"/>
      <x:c r="AD159" s="39"/>
      <x:c r="AE159" s="39"/>
      <x:c r="AF159" s="39"/>
      <x:c r="AG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  <x:c r="AA160" s="39"/>
      <x:c r="AB160" s="39"/>
      <x:c r="AC160" s="39"/>
      <x:c r="AD160" s="39"/>
      <x:c r="AE160" s="39"/>
      <x:c r="AF160" s="39"/>
      <x:c r="AG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  <x:c r="AA161" s="39"/>
      <x:c r="AB161" s="39"/>
      <x:c r="AC161" s="39"/>
      <x:c r="AD161" s="39"/>
      <x:c r="AE161" s="39"/>
      <x:c r="AF161" s="39"/>
      <x:c r="AG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  <x:c r="AA162" s="39"/>
      <x:c r="AB162" s="39"/>
      <x:c r="AC162" s="39"/>
      <x:c r="AD162" s="39"/>
      <x:c r="AE162" s="39"/>
      <x:c r="AF162" s="39"/>
      <x:c r="AG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  <x:c r="AA163" s="39"/>
      <x:c r="AB163" s="39"/>
      <x:c r="AC163" s="39"/>
      <x:c r="AD163" s="39"/>
      <x:c r="AE163" s="39"/>
      <x:c r="AF163" s="39"/>
      <x:c r="AG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  <x:c r="AA164" s="39"/>
      <x:c r="AB164" s="39"/>
      <x:c r="AC164" s="39"/>
      <x:c r="AD164" s="39"/>
      <x:c r="AE164" s="39"/>
      <x:c r="AF164" s="39"/>
      <x:c r="AG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  <x:c r="AA165" s="39"/>
      <x:c r="AB165" s="39"/>
      <x:c r="AC165" s="39"/>
      <x:c r="AD165" s="39"/>
      <x:c r="AE165" s="39"/>
      <x:c r="AF165" s="39"/>
      <x:c r="AG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  <x:c r="AA166" s="39"/>
      <x:c r="AB166" s="39"/>
      <x:c r="AC166" s="39"/>
      <x:c r="AD166" s="39"/>
      <x:c r="AE166" s="39"/>
      <x:c r="AF166" s="39"/>
      <x:c r="AG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  <x:c r="AA167" s="39"/>
      <x:c r="AB167" s="39"/>
      <x:c r="AC167" s="39"/>
      <x:c r="AD167" s="39"/>
      <x:c r="AE167" s="39"/>
      <x:c r="AF167" s="39"/>
      <x:c r="AG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  <x:c r="AA168" s="39"/>
      <x:c r="AB168" s="39"/>
      <x:c r="AC168" s="39"/>
      <x:c r="AD168" s="39"/>
      <x:c r="AE168" s="39"/>
      <x:c r="AF168" s="39"/>
      <x:c r="AG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  <x:c r="AA169" s="39"/>
      <x:c r="AB169" s="39"/>
      <x:c r="AC169" s="39"/>
      <x:c r="AD169" s="39"/>
      <x:c r="AE169" s="39"/>
      <x:c r="AF169" s="39"/>
      <x:c r="AG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  <x:c r="AA170" s="39"/>
      <x:c r="AB170" s="39"/>
      <x:c r="AC170" s="39"/>
      <x:c r="AD170" s="39"/>
      <x:c r="AE170" s="39"/>
      <x:c r="AF170" s="39"/>
      <x:c r="AG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  <x:c r="AA171" s="39"/>
      <x:c r="AB171" s="39"/>
      <x:c r="AC171" s="39"/>
      <x:c r="AD171" s="39"/>
      <x:c r="AE171" s="39"/>
      <x:c r="AF171" s="39"/>
      <x:c r="AG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  <x:c r="AA172" s="39"/>
      <x:c r="AB172" s="39"/>
      <x:c r="AC172" s="39"/>
      <x:c r="AD172" s="39"/>
      <x:c r="AE172" s="39"/>
      <x:c r="AF172" s="39"/>
      <x:c r="AG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  <x:c r="AA173" s="39"/>
      <x:c r="AB173" s="39"/>
      <x:c r="AC173" s="39"/>
      <x:c r="AD173" s="39"/>
      <x:c r="AE173" s="39"/>
      <x:c r="AF173" s="39"/>
      <x:c r="AG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  <x:c r="AA174" s="39"/>
      <x:c r="AB174" s="39"/>
      <x:c r="AC174" s="39"/>
      <x:c r="AD174" s="39"/>
      <x:c r="AE174" s="39"/>
      <x:c r="AF174" s="39"/>
      <x:c r="AG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  <x:c r="AA175" s="39"/>
      <x:c r="AB175" s="39"/>
      <x:c r="AC175" s="39"/>
      <x:c r="AD175" s="39"/>
      <x:c r="AE175" s="39"/>
      <x:c r="AF175" s="39"/>
      <x:c r="AG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  <x:c r="AA176" s="39"/>
      <x:c r="AB176" s="39"/>
      <x:c r="AC176" s="39"/>
      <x:c r="AD176" s="39"/>
      <x:c r="AE176" s="39"/>
      <x:c r="AF176" s="39"/>
      <x:c r="AG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  <x:c r="AA177" s="39"/>
      <x:c r="AB177" s="39"/>
      <x:c r="AC177" s="39"/>
      <x:c r="AD177" s="39"/>
      <x:c r="AE177" s="39"/>
      <x:c r="AF177" s="39"/>
      <x:c r="AG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  <x:c r="AA178" s="39"/>
      <x:c r="AB178" s="39"/>
      <x:c r="AC178" s="39"/>
      <x:c r="AD178" s="39"/>
      <x:c r="AE178" s="39"/>
      <x:c r="AF178" s="39"/>
      <x:c r="AG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  <x:c r="AA179" s="39"/>
      <x:c r="AB179" s="39"/>
      <x:c r="AC179" s="39"/>
      <x:c r="AD179" s="39"/>
      <x:c r="AE179" s="39"/>
      <x:c r="AF179" s="39"/>
      <x:c r="AG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  <x:c r="AA180" s="39"/>
      <x:c r="AB180" s="39"/>
      <x:c r="AC180" s="39"/>
      <x:c r="AD180" s="39"/>
      <x:c r="AE180" s="39"/>
      <x:c r="AF180" s="39"/>
      <x:c r="AG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  <x:c r="AA181" s="39"/>
      <x:c r="AB181" s="39"/>
      <x:c r="AC181" s="39"/>
      <x:c r="AD181" s="39"/>
      <x:c r="AE181" s="39"/>
      <x:c r="AF181" s="39"/>
      <x:c r="AG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  <x:c r="AA182" s="39"/>
      <x:c r="AB182" s="39"/>
      <x:c r="AC182" s="39"/>
      <x:c r="AD182" s="39"/>
      <x:c r="AE182" s="39"/>
      <x:c r="AF182" s="39"/>
      <x:c r="AG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  <x:c r="AA183" s="39"/>
      <x:c r="AB183" s="39"/>
      <x:c r="AC183" s="39"/>
      <x:c r="AD183" s="39"/>
      <x:c r="AE183" s="39"/>
      <x:c r="AF183" s="39"/>
      <x:c r="AG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  <x:c r="AA184" s="39"/>
      <x:c r="AB184" s="39"/>
      <x:c r="AC184" s="39"/>
      <x:c r="AD184" s="39"/>
      <x:c r="AE184" s="39"/>
      <x:c r="AF184" s="39"/>
      <x:c r="AG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  <x:c r="AA185" s="39"/>
      <x:c r="AB185" s="39"/>
      <x:c r="AC185" s="39"/>
      <x:c r="AD185" s="39"/>
      <x:c r="AE185" s="39"/>
      <x:c r="AF185" s="39"/>
      <x:c r="AG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  <x:c r="AA186" s="39"/>
      <x:c r="AB186" s="39"/>
      <x:c r="AC186" s="39"/>
      <x:c r="AD186" s="39"/>
      <x:c r="AE186" s="39"/>
      <x:c r="AF186" s="39"/>
      <x:c r="AG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  <x:c r="AA187" s="39"/>
      <x:c r="AB187" s="39"/>
      <x:c r="AC187" s="39"/>
      <x:c r="AD187" s="39"/>
      <x:c r="AE187" s="39"/>
      <x:c r="AF187" s="39"/>
      <x:c r="AG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  <x:c r="AA188" s="39"/>
      <x:c r="AB188" s="39"/>
      <x:c r="AC188" s="39"/>
      <x:c r="AD188" s="39"/>
      <x:c r="AE188" s="39"/>
      <x:c r="AF188" s="39"/>
      <x:c r="AG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  <x:c r="AA189" s="39"/>
      <x:c r="AB189" s="39"/>
      <x:c r="AC189" s="39"/>
      <x:c r="AD189" s="39"/>
      <x:c r="AE189" s="39"/>
      <x:c r="AF189" s="39"/>
      <x:c r="AG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  <x:c r="AA190" s="39"/>
      <x:c r="AB190" s="39"/>
      <x:c r="AC190" s="39"/>
      <x:c r="AD190" s="39"/>
      <x:c r="AE190" s="39"/>
      <x:c r="AF190" s="39"/>
      <x:c r="AG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  <x:c r="AA191" s="39"/>
      <x:c r="AB191" s="39"/>
      <x:c r="AC191" s="39"/>
      <x:c r="AD191" s="39"/>
      <x:c r="AE191" s="39"/>
      <x:c r="AF191" s="39"/>
      <x:c r="AG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  <x:c r="AA192" s="39"/>
      <x:c r="AB192" s="39"/>
      <x:c r="AC192" s="39"/>
      <x:c r="AD192" s="39"/>
      <x:c r="AE192" s="39"/>
      <x:c r="AF192" s="39"/>
      <x:c r="AG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  <x:c r="AA193" s="39"/>
      <x:c r="AB193" s="39"/>
      <x:c r="AC193" s="39"/>
      <x:c r="AD193" s="39"/>
      <x:c r="AE193" s="39"/>
      <x:c r="AF193" s="39"/>
      <x:c r="AG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  <x:c r="AA194" s="39"/>
      <x:c r="AB194" s="39"/>
      <x:c r="AC194" s="39"/>
      <x:c r="AD194" s="39"/>
      <x:c r="AE194" s="39"/>
      <x:c r="AF194" s="39"/>
      <x:c r="AG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  <x:c r="AA195" s="39"/>
      <x:c r="AB195" s="39"/>
      <x:c r="AC195" s="39"/>
      <x:c r="AD195" s="39"/>
      <x:c r="AE195" s="39"/>
      <x:c r="AF195" s="39"/>
      <x:c r="AG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  <x:c r="AA196" s="39"/>
      <x:c r="AB196" s="39"/>
      <x:c r="AC196" s="39"/>
      <x:c r="AD196" s="39"/>
      <x:c r="AE196" s="39"/>
      <x:c r="AF196" s="39"/>
      <x:c r="AG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  <x:c r="AA197" s="39"/>
      <x:c r="AB197" s="39"/>
      <x:c r="AC197" s="39"/>
      <x:c r="AD197" s="39"/>
      <x:c r="AE197" s="39"/>
      <x:c r="AF197" s="39"/>
      <x:c r="AG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  <x:c r="AA198" s="39"/>
      <x:c r="AB198" s="39"/>
      <x:c r="AC198" s="39"/>
      <x:c r="AD198" s="39"/>
      <x:c r="AE198" s="39"/>
      <x:c r="AF198" s="39"/>
      <x:c r="AG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  <x:c r="AA199" s="39"/>
      <x:c r="AB199" s="39"/>
      <x:c r="AC199" s="39"/>
      <x:c r="AD199" s="39"/>
      <x:c r="AE199" s="39"/>
      <x:c r="AF199" s="39"/>
      <x:c r="AG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  <x:c r="AA200" s="39"/>
      <x:c r="AB200" s="39"/>
      <x:c r="AC200" s="39"/>
      <x:c r="AD200" s="39"/>
      <x:c r="AE200" s="39"/>
      <x:c r="AF200" s="39"/>
      <x:c r="AG200" s="39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45a495b29384ac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8" hidden="0" customWidth="1"/>
    <x:col min="8" max="8" width="14" hidden="0" customWidth="1"/>
    <x:col min="9" max="9" width="14" hidden="0" customWidth="1"/>
    <x:col min="10" max="10" width="34" hidden="0" customWidth="1"/>
    <x:col min="11" max="11" width="18" hidden="0" customWidth="1"/>
    <x:col min="12" max="12" width="34" hidden="0" customWidth="1"/>
    <x:col min="13" max="13" width="28" hidden="0" customWidth="1"/>
  </x:cols>
  <x:sheetData>
    <x:row r="1" ht="28" customHeight="1">
      <x:c r="A1" s="158" t="str">
        <x:v>Rinnovo &amp; Rinegoziazione — simulazione prezzi</x:v>
      </x:c>
      <x:c r="B1" s="162"/>
      <x:c r="C1" s="162"/>
      <x:c r="D1" s="162"/>
      <x:c r="E1" s="162"/>
      <x:c r="F1" s="162"/>
      <x:c r="G1" s="162"/>
      <x:c r="H1" s="163"/>
      <x:c r="I1" s="163"/>
      <x:c r="J1" s="159"/>
      <x:c r="K1" s="159"/>
      <x:c r="L1" s="159"/>
      <x:c r="M1" s="159"/>
      <x:c r="N1" s="159"/>
      <x:c r="O1" s="159"/>
      <x:c r="P1" s="159"/>
      <x:c r="Q1" s="159"/>
      <x:c r="R1" s="159"/>
      <x:c r="S1" s="159"/>
      <x:c r="T1" s="159"/>
      <x:c r="U1" s="159"/>
      <x:c r="V1" s="159"/>
      <x:c r="W1" s="159"/>
      <x:c r="X1" s="159"/>
      <x:c r="Y1" s="159"/>
      <x:c r="Z1" s="159"/>
      <x:c r="AA1" s="39"/>
      <x:c r="AB1" s="39"/>
      <x:c r="AC1" s="39"/>
      <x:c r="AD1" s="39"/>
      <x:c r="AE1" s="39"/>
      <x:c r="AF1" s="39"/>
      <x:c r="AG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</x:row>
    <x:row r="3" ht="28" customHeight="1">
      <x:c r="A3" s="202" t="str">
        <x:v>Cliente</x:v>
      </x:c>
      <x:c r="B3" s="202" t="str">
        <x:v>Prezzo attuale</x:v>
      </x:c>
      <x:c r="C3" s="202" t="str">
        <x:v>Prezzo minimo consigliato</x:v>
      </x:c>
      <x:c r="D3" s="202" t="str">
        <x:v>Nuovo prezzo proposto</x:v>
      </x:c>
      <x:c r="E3" s="202" t="str">
        <x:v>Aumento suggerito</x:v>
      </x:c>
      <x:c r="F3" s="202" t="str">
        <x:v>Margine attuale</x:v>
      </x:c>
      <x:c r="G3" s="202" t="str">
        <x:v>Margine dopo rinnovo</x:v>
      </x:c>
      <x:c r="H3" s="202" t="str">
        <x:v>Ore attuali</x:v>
      </x:c>
      <x:c r="I3" s="202" t="str">
        <x:v>Ore dopo delega</x:v>
      </x:c>
      <x:c r="J3" s="202" t="str">
        <x:v>Motivazione aumento</x:v>
      </x:c>
      <x:c r="K3" s="202" t="str">
        <x:v>Stato rinnovo</x:v>
      </x:c>
      <x:c r="L3" s="202" t="str">
        <x:v>Note trattativa</x:v>
      </x:c>
      <x:c r="M3" s="202" t="str">
        <x:v>Link Notion</x:v>
      </x:c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  <x:c r="AA3" s="39"/>
      <x:c r="AB3" s="39"/>
      <x:c r="AC3" s="39"/>
      <x:c r="AD3" s="39"/>
      <x:c r="AE3" s="39"/>
      <x:c r="AF3" s="39"/>
      <x:c r="AG3" s="39"/>
    </x:row>
    <x:row r="4">
      <x:c r="A4" s="197" t="str">
        <x:v>Startupdata</x:v>
      </x:c>
      <x:c r="B4" s="198" t="n">
        <x:f>IFERROR(VLOOKUP(A4,'Margini Clienti'!$A:$AG,6,FALSE),0)</x:f>
        <x:v>1500</x:v>
      </x:c>
      <x:c r="C4" s="198" t="n">
        <x:f>IFERROR(VLOOKUP(A4,'Margini Clienti'!$A:$AG,22,FALSE),0)</x:f>
        <x:v>4275</x:v>
      </x:c>
      <x:c r="D4" s="197" t="n">
        <x:v>4275</x:v>
      </x:c>
      <x:c r="E4" s="198" t="n">
        <x:f>D4-B4</x:f>
        <x:v>2775</x:v>
      </x:c>
      <x:c r="F4" s="198" t="n">
        <x:f>IFERROR(VLOOKUP(A4,'Margini Clienti'!$A:$AG,23,FALSE),0)</x:f>
        <x:v>1255</x:v>
      </x:c>
      <x:c r="G4" s="198" t="n">
        <x:f>F4+E4</x:f>
        <x:v>4030</x:v>
      </x:c>
      <x:c r="H4" s="198" t="n">
        <x:f>IFERROR(VLOOKUP(A4,'Margini Clienti'!$A:$AG,17,FALSE)+VLOOKUP(A4,'Margini Clienti'!$A:$AG,18,FALSE)+VLOOKUP(A4,'Margini Clienti'!$A:$AG,19,FALSE),0)</x:f>
        <x:v>84</x:v>
      </x:c>
      <x:c r="I4" s="197" t="n">
        <x:v>84</x:v>
      </x:c>
      <x:c r="J4" s="197" t="str">
        <x:v>Validazione servizio + caso studio</x:v>
      </x:c>
      <x:c r="K4" s="197" t="str">
        <x:v>Da proporre</x:v>
      </x:c>
      <x:c r="L4" s="197" t="str"/>
      <x:c r="M4" s="197" t="str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  <x:c r="AA4" s="39"/>
      <x:c r="AB4" s="39"/>
      <x:c r="AC4" s="39"/>
      <x:c r="AD4" s="39"/>
      <x:c r="AE4" s="39"/>
      <x:c r="AF4" s="39"/>
      <x:c r="AG4" s="39"/>
    </x:row>
    <x:row r="5">
      <x:c r="A5" s="197" t="str">
        <x:v>Mirko / Evolution</x:v>
      </x:c>
      <x:c r="B5" s="198" t="n">
        <x:f>IFERROR(VLOOKUP(A5,'Margini Clienti'!$A:$AG,6,FALSE),0)</x:f>
        <x:v>700</x:v>
      </x:c>
      <x:c r="C5" s="198" t="n">
        <x:f>IFERROR(VLOOKUP(A5,'Margini Clienti'!$A:$AG,22,FALSE),0)</x:f>
        <x:v>4562</x:v>
      </x:c>
      <x:c r="D5" s="197" t="n">
        <x:v>4562</x:v>
      </x:c>
      <x:c r="E5" s="198" t="n">
        <x:f>D5-B5</x:f>
        <x:v>3862</x:v>
      </x:c>
      <x:c r="F5" s="198" t="n">
        <x:f>IFERROR(VLOOKUP(A5,'Margini Clienti'!$A:$AG,23,FALSE),0)</x:f>
        <x:v>689.58</x:v>
      </x:c>
      <x:c r="G5" s="198" t="n">
        <x:f>F5+E5</x:f>
        <x:v>4551.58</x:v>
      </x:c>
      <x:c r="H5" s="198" t="n">
        <x:f>IFERROR(VLOOKUP(A5,'Margini Clienti'!$A:$AG,17,FALSE)+VLOOKUP(A5,'Margini Clienti'!$A:$AG,18,FALSE)+VLOOKUP(A5,'Margini Clienti'!$A:$AG,19,FALSE),0)</x:f>
        <x:v>68.16666666666667</x:v>
      </x:c>
      <x:c r="I5" s="197" t="n">
        <x:v>68.16666666666667</x:v>
      </x:c>
      <x:c r="J5" s="197" t="str">
        <x:v>Validazione multicanale + relazione importante</x:v>
      </x:c>
      <x:c r="K5" s="197" t="str">
        <x:v>Da proporre</x:v>
      </x:c>
      <x:c r="L5" s="197" t="str"/>
      <x:c r="M5" s="197" t="str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  <x:c r="AA5" s="39"/>
      <x:c r="AB5" s="39"/>
      <x:c r="AC5" s="39"/>
      <x:c r="AD5" s="39"/>
      <x:c r="AE5" s="39"/>
      <x:c r="AF5" s="39"/>
      <x:c r="AG5" s="39"/>
    </x:row>
    <x:row r="6">
      <x:c r="A6" s="197"/>
      <x:c r="B6" s="198" t="str">
        <x:f>IFERROR(VLOOKUP(A6,'Margini Clienti'!$A:$AG,6,FALSE),0)</x:f>
      </x:c>
      <x:c r="C6" s="198" t="str">
        <x:f>IFERROR(VLOOKUP(A6,'Margini Clienti'!$A:$AG,22,FALSE),0)</x:f>
      </x:c>
      <x:c r="D6" s="197"/>
      <x:c r="E6" s="198" t="n">
        <x:f>D6-B6</x:f>
        <x:v>0</x:v>
      </x:c>
      <x:c r="F6" s="198" t="str">
        <x:f>IFERROR(VLOOKUP(A6,'Margini Clienti'!$A:$AG,23,FALSE),0)</x:f>
      </x:c>
      <x:c r="G6" s="198" t="n">
        <x:f>F6+E6</x:f>
        <x:v>0</x:v>
      </x:c>
      <x:c r="H6" s="198" t="n">
        <x:f>IFERROR(VLOOKUP(A6,'Margini Clienti'!$A:$AG,17,FALSE)+VLOOKUP(A6,'Margini Clienti'!$A:$AG,18,FALSE)+VLOOKUP(A6,'Margini Clienti'!$A:$AG,19,FALSE),0)</x:f>
        <x:v>0</x:v>
      </x:c>
      <x:c r="I6" s="197"/>
      <x:c r="J6" s="197"/>
      <x:c r="K6" s="197"/>
      <x:c r="L6" s="197"/>
      <x:c r="M6" s="197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  <x:c r="AA6" s="39"/>
      <x:c r="AB6" s="39"/>
      <x:c r="AC6" s="39"/>
      <x:c r="AD6" s="39"/>
      <x:c r="AE6" s="39"/>
      <x:c r="AF6" s="39"/>
      <x:c r="AG6" s="39"/>
    </x:row>
    <x:row r="7">
      <x:c r="A7" s="197"/>
      <x:c r="B7" s="198" t="str">
        <x:f>IFERROR(VLOOKUP(A7,'Margini Clienti'!$A:$AG,6,FALSE),0)</x:f>
      </x:c>
      <x:c r="C7" s="198" t="str">
        <x:f>IFERROR(VLOOKUP(A7,'Margini Clienti'!$A:$AG,22,FALSE),0)</x:f>
      </x:c>
      <x:c r="D7" s="197"/>
      <x:c r="E7" s="198" t="n">
        <x:f>D7-B7</x:f>
        <x:v>0</x:v>
      </x:c>
      <x:c r="F7" s="198" t="str">
        <x:f>IFERROR(VLOOKUP(A7,'Margini Clienti'!$A:$AG,23,FALSE),0)</x:f>
      </x:c>
      <x:c r="G7" s="198" t="n">
        <x:f>F7+E7</x:f>
        <x:v>0</x:v>
      </x:c>
      <x:c r="H7" s="198" t="n">
        <x:f>IFERROR(VLOOKUP(A7,'Margini Clienti'!$A:$AG,17,FALSE)+VLOOKUP(A7,'Margini Clienti'!$A:$AG,18,FALSE)+VLOOKUP(A7,'Margini Clienti'!$A:$AG,19,FALSE),0)</x:f>
        <x:v>0</x:v>
      </x:c>
      <x:c r="I7" s="197"/>
      <x:c r="J7" s="197"/>
      <x:c r="K7" s="197"/>
      <x:c r="L7" s="197"/>
      <x:c r="M7" s="197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  <x:c r="AA7" s="39"/>
      <x:c r="AB7" s="39"/>
      <x:c r="AC7" s="39"/>
      <x:c r="AD7" s="39"/>
      <x:c r="AE7" s="39"/>
      <x:c r="AF7" s="39"/>
      <x:c r="AG7" s="39"/>
    </x:row>
    <x:row r="8">
      <x:c r="A8" s="197"/>
      <x:c r="B8" s="198" t="str">
        <x:f>IFERROR(VLOOKUP(A8,'Margini Clienti'!$A:$AG,6,FALSE),0)</x:f>
      </x:c>
      <x:c r="C8" s="198" t="str">
        <x:f>IFERROR(VLOOKUP(A8,'Margini Clienti'!$A:$AG,22,FALSE),0)</x:f>
      </x:c>
      <x:c r="D8" s="197"/>
      <x:c r="E8" s="198" t="n">
        <x:f>D8-B8</x:f>
        <x:v>0</x:v>
      </x:c>
      <x:c r="F8" s="198" t="str">
        <x:f>IFERROR(VLOOKUP(A8,'Margini Clienti'!$A:$AG,23,FALSE),0)</x:f>
      </x:c>
      <x:c r="G8" s="198" t="n">
        <x:f>F8+E8</x:f>
        <x:v>0</x:v>
      </x:c>
      <x:c r="H8" s="198" t="n">
        <x:f>IFERROR(VLOOKUP(A8,'Margini Clienti'!$A:$AG,17,FALSE)+VLOOKUP(A8,'Margini Clienti'!$A:$AG,18,FALSE)+VLOOKUP(A8,'Margini Clienti'!$A:$AG,19,FALSE),0)</x:f>
        <x:v>0</x:v>
      </x:c>
      <x:c r="I8" s="197"/>
      <x:c r="J8" s="197"/>
      <x:c r="K8" s="197"/>
      <x:c r="L8" s="197"/>
      <x:c r="M8" s="197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  <x:c r="AA8" s="39"/>
      <x:c r="AB8" s="39"/>
      <x:c r="AC8" s="39"/>
      <x:c r="AD8" s="39"/>
      <x:c r="AE8" s="39"/>
      <x:c r="AF8" s="39"/>
      <x:c r="AG8" s="39"/>
    </x:row>
    <x:row r="9">
      <x:c r="A9" s="197"/>
      <x:c r="B9" s="198" t="str">
        <x:f>IFERROR(VLOOKUP(A9,'Margini Clienti'!$A:$AG,6,FALSE),0)</x:f>
      </x:c>
      <x:c r="C9" s="198" t="str">
        <x:f>IFERROR(VLOOKUP(A9,'Margini Clienti'!$A:$AG,22,FALSE),0)</x:f>
      </x:c>
      <x:c r="D9" s="197"/>
      <x:c r="E9" s="198" t="n">
        <x:f>D9-B9</x:f>
        <x:v>0</x:v>
      </x:c>
      <x:c r="F9" s="198" t="str">
        <x:f>IFERROR(VLOOKUP(A9,'Margini Clienti'!$A:$AG,23,FALSE),0)</x:f>
      </x:c>
      <x:c r="G9" s="198" t="n">
        <x:f>F9+E9</x:f>
        <x:v>0</x:v>
      </x:c>
      <x:c r="H9" s="198" t="n">
        <x:f>IFERROR(VLOOKUP(A9,'Margini Clienti'!$A:$AG,17,FALSE)+VLOOKUP(A9,'Margini Clienti'!$A:$AG,18,FALSE)+VLOOKUP(A9,'Margini Clienti'!$A:$AG,19,FALSE),0)</x:f>
        <x:v>0</x:v>
      </x:c>
      <x:c r="I9" s="197"/>
      <x:c r="J9" s="197"/>
      <x:c r="K9" s="197"/>
      <x:c r="L9" s="197"/>
      <x:c r="M9" s="197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  <x:c r="AA9" s="39"/>
      <x:c r="AB9" s="39"/>
      <x:c r="AC9" s="39"/>
      <x:c r="AD9" s="39"/>
      <x:c r="AE9" s="39"/>
      <x:c r="AF9" s="39"/>
      <x:c r="AG9" s="39"/>
    </x:row>
    <x:row r="10">
      <x:c r="A10" s="197"/>
      <x:c r="B10" s="198" t="str">
        <x:f>IFERROR(VLOOKUP(A10,'Margini Clienti'!$A:$AG,6,FALSE),0)</x:f>
      </x:c>
      <x:c r="C10" s="198" t="str">
        <x:f>IFERROR(VLOOKUP(A10,'Margini Clienti'!$A:$AG,22,FALSE),0)</x:f>
      </x:c>
      <x:c r="D10" s="197"/>
      <x:c r="E10" s="198" t="n">
        <x:f>D10-B10</x:f>
        <x:v>0</x:v>
      </x:c>
      <x:c r="F10" s="198" t="str">
        <x:f>IFERROR(VLOOKUP(A10,'Margini Clienti'!$A:$AG,23,FALSE),0)</x:f>
      </x:c>
      <x:c r="G10" s="198" t="n">
        <x:f>F10+E10</x:f>
        <x:v>0</x:v>
      </x:c>
      <x:c r="H10" s="198" t="n">
        <x:f>IFERROR(VLOOKUP(A10,'Margini Clienti'!$A:$AG,17,FALSE)+VLOOKUP(A10,'Margini Clienti'!$A:$AG,18,FALSE)+VLOOKUP(A10,'Margini Clienti'!$A:$AG,19,FALSE),0)</x:f>
        <x:v>0</x:v>
      </x:c>
      <x:c r="I10" s="197"/>
      <x:c r="J10" s="197"/>
      <x:c r="K10" s="197"/>
      <x:c r="L10" s="197"/>
      <x:c r="M10" s="197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  <x:c r="AA10" s="39"/>
      <x:c r="AB10" s="39"/>
      <x:c r="AC10" s="39"/>
      <x:c r="AD10" s="39"/>
      <x:c r="AE10" s="39"/>
      <x:c r="AF10" s="39"/>
      <x:c r="AG10" s="39"/>
    </x:row>
    <x:row r="11">
      <x:c r="A11" s="197"/>
      <x:c r="B11" s="198" t="str">
        <x:f>IFERROR(VLOOKUP(A11,'Margini Clienti'!$A:$AG,6,FALSE),0)</x:f>
      </x:c>
      <x:c r="C11" s="198" t="str">
        <x:f>IFERROR(VLOOKUP(A11,'Margini Clienti'!$A:$AG,22,FALSE),0)</x:f>
      </x:c>
      <x:c r="D11" s="197"/>
      <x:c r="E11" s="198" t="n">
        <x:f>D11-B11</x:f>
        <x:v>0</x:v>
      </x:c>
      <x:c r="F11" s="198" t="str">
        <x:f>IFERROR(VLOOKUP(A11,'Margini Clienti'!$A:$AG,23,FALSE),0)</x:f>
      </x:c>
      <x:c r="G11" s="198" t="n">
        <x:f>F11+E11</x:f>
        <x:v>0</x:v>
      </x:c>
      <x:c r="H11" s="198" t="n">
        <x:f>IFERROR(VLOOKUP(A11,'Margini Clienti'!$A:$AG,17,FALSE)+VLOOKUP(A11,'Margini Clienti'!$A:$AG,18,FALSE)+VLOOKUP(A11,'Margini Clienti'!$A:$AG,19,FALSE),0)</x:f>
        <x:v>0</x:v>
      </x:c>
      <x:c r="I11" s="197"/>
      <x:c r="J11" s="197"/>
      <x:c r="K11" s="197"/>
      <x:c r="L11" s="197"/>
      <x:c r="M11" s="197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  <x:c r="AB11" s="39"/>
      <x:c r="AC11" s="39"/>
      <x:c r="AD11" s="39"/>
      <x:c r="AE11" s="39"/>
      <x:c r="AF11" s="39"/>
      <x:c r="AG11" s="39"/>
    </x:row>
    <x:row r="12">
      <x:c r="A12" s="197"/>
      <x:c r="B12" s="198" t="str">
        <x:f>IFERROR(VLOOKUP(A12,'Margini Clienti'!$A:$AG,6,FALSE),0)</x:f>
      </x:c>
      <x:c r="C12" s="198" t="str">
        <x:f>IFERROR(VLOOKUP(A12,'Margini Clienti'!$A:$AG,22,FALSE),0)</x:f>
      </x:c>
      <x:c r="D12" s="197"/>
      <x:c r="E12" s="198" t="n">
        <x:f>D12-B12</x:f>
        <x:v>0</x:v>
      </x:c>
      <x:c r="F12" s="198" t="str">
        <x:f>IFERROR(VLOOKUP(A12,'Margini Clienti'!$A:$AG,23,FALSE),0)</x:f>
      </x:c>
      <x:c r="G12" s="198" t="n">
        <x:f>F12+E12</x:f>
        <x:v>0</x:v>
      </x:c>
      <x:c r="H12" s="198" t="n">
        <x:f>IFERROR(VLOOKUP(A12,'Margini Clienti'!$A:$AG,17,FALSE)+VLOOKUP(A12,'Margini Clienti'!$A:$AG,18,FALSE)+VLOOKUP(A12,'Margini Clienti'!$A:$AG,19,FALSE),0)</x:f>
        <x:v>0</x:v>
      </x:c>
      <x:c r="I12" s="197"/>
      <x:c r="J12" s="197"/>
      <x:c r="K12" s="197"/>
      <x:c r="L12" s="197"/>
      <x:c r="M12" s="197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  <x:c r="AA12" s="39"/>
      <x:c r="AB12" s="39"/>
      <x:c r="AC12" s="39"/>
      <x:c r="AD12" s="39"/>
      <x:c r="AE12" s="39"/>
      <x:c r="AF12" s="39"/>
      <x:c r="AG12" s="39"/>
    </x:row>
    <x:row r="13">
      <x:c r="A13" s="197"/>
      <x:c r="B13" s="198" t="str">
        <x:f>IFERROR(VLOOKUP(A13,'Margini Clienti'!$A:$AG,6,FALSE),0)</x:f>
      </x:c>
      <x:c r="C13" s="198" t="str">
        <x:f>IFERROR(VLOOKUP(A13,'Margini Clienti'!$A:$AG,22,FALSE),0)</x:f>
      </x:c>
      <x:c r="D13" s="197"/>
      <x:c r="E13" s="198" t="n">
        <x:f>D13-B13</x:f>
        <x:v>0</x:v>
      </x:c>
      <x:c r="F13" s="198" t="str">
        <x:f>IFERROR(VLOOKUP(A13,'Margini Clienti'!$A:$AG,23,FALSE),0)</x:f>
      </x:c>
      <x:c r="G13" s="198" t="n">
        <x:f>F13+E13</x:f>
        <x:v>0</x:v>
      </x:c>
      <x:c r="H13" s="198" t="n">
        <x:f>IFERROR(VLOOKUP(A13,'Margini Clienti'!$A:$AG,17,FALSE)+VLOOKUP(A13,'Margini Clienti'!$A:$AG,18,FALSE)+VLOOKUP(A13,'Margini Clienti'!$A:$AG,19,FALSE),0)</x:f>
        <x:v>0</x:v>
      </x:c>
      <x:c r="I13" s="197"/>
      <x:c r="J13" s="197"/>
      <x:c r="K13" s="197"/>
      <x:c r="L13" s="197"/>
      <x:c r="M13" s="197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  <x:c r="AA13" s="39"/>
      <x:c r="AB13" s="39"/>
      <x:c r="AC13" s="39"/>
      <x:c r="AD13" s="39"/>
      <x:c r="AE13" s="39"/>
      <x:c r="AF13" s="39"/>
      <x:c r="AG13" s="39"/>
    </x:row>
    <x:row r="14">
      <x:c r="A14" s="197"/>
      <x:c r="B14" s="198" t="str">
        <x:f>IFERROR(VLOOKUP(A14,'Margini Clienti'!$A:$AG,6,FALSE),0)</x:f>
      </x:c>
      <x:c r="C14" s="198" t="str">
        <x:f>IFERROR(VLOOKUP(A14,'Margini Clienti'!$A:$AG,22,FALSE),0)</x:f>
      </x:c>
      <x:c r="D14" s="197"/>
      <x:c r="E14" s="198" t="n">
        <x:f>D14-B14</x:f>
        <x:v>0</x:v>
      </x:c>
      <x:c r="F14" s="198" t="str">
        <x:f>IFERROR(VLOOKUP(A14,'Margini Clienti'!$A:$AG,23,FALSE),0)</x:f>
      </x:c>
      <x:c r="G14" s="198" t="n">
        <x:f>F14+E14</x:f>
        <x:v>0</x:v>
      </x:c>
      <x:c r="H14" s="198" t="n">
        <x:f>IFERROR(VLOOKUP(A14,'Margini Clienti'!$A:$AG,17,FALSE)+VLOOKUP(A14,'Margini Clienti'!$A:$AG,18,FALSE)+VLOOKUP(A14,'Margini Clienti'!$A:$AG,19,FALSE),0)</x:f>
        <x:v>0</x:v>
      </x:c>
      <x:c r="I14" s="197"/>
      <x:c r="J14" s="197"/>
      <x:c r="K14" s="197"/>
      <x:c r="L14" s="197"/>
      <x:c r="M14" s="197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  <x:c r="AA14" s="39"/>
      <x:c r="AB14" s="39"/>
      <x:c r="AC14" s="39"/>
      <x:c r="AD14" s="39"/>
      <x:c r="AE14" s="39"/>
      <x:c r="AF14" s="39"/>
      <x:c r="AG14" s="39"/>
    </x:row>
    <x:row r="15">
      <x:c r="A15" s="197"/>
      <x:c r="B15" s="198" t="str">
        <x:f>IFERROR(VLOOKUP(A15,'Margini Clienti'!$A:$AG,6,FALSE),0)</x:f>
      </x:c>
      <x:c r="C15" s="198" t="str">
        <x:f>IFERROR(VLOOKUP(A15,'Margini Clienti'!$A:$AG,22,FALSE),0)</x:f>
      </x:c>
      <x:c r="D15" s="197"/>
      <x:c r="E15" s="198" t="n">
        <x:f>D15-B15</x:f>
        <x:v>0</x:v>
      </x:c>
      <x:c r="F15" s="198" t="str">
        <x:f>IFERROR(VLOOKUP(A15,'Margini Clienti'!$A:$AG,23,FALSE),0)</x:f>
      </x:c>
      <x:c r="G15" s="198" t="n">
        <x:f>F15+E15</x:f>
        <x:v>0</x:v>
      </x:c>
      <x:c r="H15" s="198" t="n">
        <x:f>IFERROR(VLOOKUP(A15,'Margini Clienti'!$A:$AG,17,FALSE)+VLOOKUP(A15,'Margini Clienti'!$A:$AG,18,FALSE)+VLOOKUP(A15,'Margini Clienti'!$A:$AG,19,FALSE),0)</x:f>
        <x:v>0</x:v>
      </x:c>
      <x:c r="I15" s="197"/>
      <x:c r="J15" s="197"/>
      <x:c r="K15" s="197"/>
      <x:c r="L15" s="197"/>
      <x:c r="M15" s="197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  <x:c r="AA15" s="39"/>
      <x:c r="AB15" s="39"/>
      <x:c r="AC15" s="39"/>
      <x:c r="AD15" s="39"/>
      <x:c r="AE15" s="39"/>
      <x:c r="AF15" s="39"/>
      <x:c r="AG15" s="39"/>
    </x:row>
    <x:row r="16">
      <x:c r="A16" s="197"/>
      <x:c r="B16" s="198" t="str">
        <x:f>IFERROR(VLOOKUP(A16,'Margini Clienti'!$A:$AG,6,FALSE),0)</x:f>
      </x:c>
      <x:c r="C16" s="198" t="str">
        <x:f>IFERROR(VLOOKUP(A16,'Margini Clienti'!$A:$AG,22,FALSE),0)</x:f>
      </x:c>
      <x:c r="D16" s="197"/>
      <x:c r="E16" s="198" t="n">
        <x:f>D16-B16</x:f>
        <x:v>0</x:v>
      </x:c>
      <x:c r="F16" s="198" t="str">
        <x:f>IFERROR(VLOOKUP(A16,'Margini Clienti'!$A:$AG,23,FALSE),0)</x:f>
      </x:c>
      <x:c r="G16" s="198" t="n">
        <x:f>F16+E16</x:f>
        <x:v>0</x:v>
      </x:c>
      <x:c r="H16" s="198" t="n">
        <x:f>IFERROR(VLOOKUP(A16,'Margini Clienti'!$A:$AG,17,FALSE)+VLOOKUP(A16,'Margini Clienti'!$A:$AG,18,FALSE)+VLOOKUP(A16,'Margini Clienti'!$A:$AG,19,FALSE),0)</x:f>
        <x:v>0</x:v>
      </x:c>
      <x:c r="I16" s="197"/>
      <x:c r="J16" s="197"/>
      <x:c r="K16" s="197"/>
      <x:c r="L16" s="197"/>
      <x:c r="M16" s="197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  <x:c r="AA16" s="39"/>
      <x:c r="AB16" s="39"/>
      <x:c r="AC16" s="39"/>
      <x:c r="AD16" s="39"/>
      <x:c r="AE16" s="39"/>
      <x:c r="AF16" s="39"/>
      <x:c r="AG16" s="39"/>
    </x:row>
    <x:row r="17">
      <x:c r="A17" s="197"/>
      <x:c r="B17" s="198" t="str">
        <x:f>IFERROR(VLOOKUP(A17,'Margini Clienti'!$A:$AG,6,FALSE),0)</x:f>
      </x:c>
      <x:c r="C17" s="198" t="str">
        <x:f>IFERROR(VLOOKUP(A17,'Margini Clienti'!$A:$AG,22,FALSE),0)</x:f>
      </x:c>
      <x:c r="D17" s="197"/>
      <x:c r="E17" s="198" t="n">
        <x:f>D17-B17</x:f>
        <x:v>0</x:v>
      </x:c>
      <x:c r="F17" s="198" t="str">
        <x:f>IFERROR(VLOOKUP(A17,'Margini Clienti'!$A:$AG,23,FALSE),0)</x:f>
      </x:c>
      <x:c r="G17" s="198" t="n">
        <x:f>F17+E17</x:f>
        <x:v>0</x:v>
      </x:c>
      <x:c r="H17" s="198" t="n">
        <x:f>IFERROR(VLOOKUP(A17,'Margini Clienti'!$A:$AG,17,FALSE)+VLOOKUP(A17,'Margini Clienti'!$A:$AG,18,FALSE)+VLOOKUP(A17,'Margini Clienti'!$A:$AG,19,FALSE),0)</x:f>
        <x:v>0</x:v>
      </x:c>
      <x:c r="I17" s="197"/>
      <x:c r="J17" s="197"/>
      <x:c r="K17" s="197"/>
      <x:c r="L17" s="197"/>
      <x:c r="M17" s="197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  <x:c r="AA17" s="39"/>
      <x:c r="AB17" s="39"/>
      <x:c r="AC17" s="39"/>
      <x:c r="AD17" s="39"/>
      <x:c r="AE17" s="39"/>
      <x:c r="AF17" s="39"/>
      <x:c r="AG17" s="39"/>
    </x:row>
    <x:row r="18">
      <x:c r="A18" s="197"/>
      <x:c r="B18" s="198" t="str">
        <x:f>IFERROR(VLOOKUP(A18,'Margini Clienti'!$A:$AG,6,FALSE),0)</x:f>
      </x:c>
      <x:c r="C18" s="198" t="str">
        <x:f>IFERROR(VLOOKUP(A18,'Margini Clienti'!$A:$AG,22,FALSE),0)</x:f>
      </x:c>
      <x:c r="D18" s="197"/>
      <x:c r="E18" s="198" t="n">
        <x:f>D18-B18</x:f>
        <x:v>0</x:v>
      </x:c>
      <x:c r="F18" s="198" t="str">
        <x:f>IFERROR(VLOOKUP(A18,'Margini Clienti'!$A:$AG,23,FALSE),0)</x:f>
      </x:c>
      <x:c r="G18" s="198" t="n">
        <x:f>F18+E18</x:f>
        <x:v>0</x:v>
      </x:c>
      <x:c r="H18" s="198" t="n">
        <x:f>IFERROR(VLOOKUP(A18,'Margini Clienti'!$A:$AG,17,FALSE)+VLOOKUP(A18,'Margini Clienti'!$A:$AG,18,FALSE)+VLOOKUP(A18,'Margini Clienti'!$A:$AG,19,FALSE),0)</x:f>
        <x:v>0</x:v>
      </x:c>
      <x:c r="I18" s="197"/>
      <x:c r="J18" s="197"/>
      <x:c r="K18" s="197"/>
      <x:c r="L18" s="197"/>
      <x:c r="M18" s="197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  <x:c r="AA18" s="39"/>
      <x:c r="AB18" s="39"/>
      <x:c r="AC18" s="39"/>
      <x:c r="AD18" s="39"/>
      <x:c r="AE18" s="39"/>
      <x:c r="AF18" s="39"/>
      <x:c r="AG18" s="39"/>
    </x:row>
    <x:row r="19">
      <x:c r="A19" s="197"/>
      <x:c r="B19" s="198" t="str">
        <x:f>IFERROR(VLOOKUP(A19,'Margini Clienti'!$A:$AG,6,FALSE),0)</x:f>
      </x:c>
      <x:c r="C19" s="198" t="str">
        <x:f>IFERROR(VLOOKUP(A19,'Margini Clienti'!$A:$AG,22,FALSE),0)</x:f>
      </x:c>
      <x:c r="D19" s="197"/>
      <x:c r="E19" s="198" t="n">
        <x:f>D19-B19</x:f>
        <x:v>0</x:v>
      </x:c>
      <x:c r="F19" s="198" t="str">
        <x:f>IFERROR(VLOOKUP(A19,'Margini Clienti'!$A:$AG,23,FALSE),0)</x:f>
      </x:c>
      <x:c r="G19" s="198" t="n">
        <x:f>F19+E19</x:f>
        <x:v>0</x:v>
      </x:c>
      <x:c r="H19" s="198" t="n">
        <x:f>IFERROR(VLOOKUP(A19,'Margini Clienti'!$A:$AG,17,FALSE)+VLOOKUP(A19,'Margini Clienti'!$A:$AG,18,FALSE)+VLOOKUP(A19,'Margini Clienti'!$A:$AG,19,FALSE),0)</x:f>
        <x:v>0</x:v>
      </x:c>
      <x:c r="I19" s="197"/>
      <x:c r="J19" s="197"/>
      <x:c r="K19" s="197"/>
      <x:c r="L19" s="197"/>
      <x:c r="M19" s="197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  <x:c r="AA19" s="39"/>
      <x:c r="AB19" s="39"/>
      <x:c r="AC19" s="39"/>
      <x:c r="AD19" s="39"/>
      <x:c r="AE19" s="39"/>
      <x:c r="AF19" s="39"/>
      <x:c r="AG19" s="39"/>
    </x:row>
    <x:row r="20">
      <x:c r="A20" s="197"/>
      <x:c r="B20" s="198" t="str">
        <x:f>IFERROR(VLOOKUP(A20,'Margini Clienti'!$A:$AG,6,FALSE),0)</x:f>
      </x:c>
      <x:c r="C20" s="198" t="str">
        <x:f>IFERROR(VLOOKUP(A20,'Margini Clienti'!$A:$AG,22,FALSE),0)</x:f>
      </x:c>
      <x:c r="D20" s="197"/>
      <x:c r="E20" s="198" t="n">
        <x:f>D20-B20</x:f>
        <x:v>0</x:v>
      </x:c>
      <x:c r="F20" s="198" t="str">
        <x:f>IFERROR(VLOOKUP(A20,'Margini Clienti'!$A:$AG,23,FALSE),0)</x:f>
      </x:c>
      <x:c r="G20" s="198" t="n">
        <x:f>F20+E20</x:f>
        <x:v>0</x:v>
      </x:c>
      <x:c r="H20" s="198" t="n">
        <x:f>IFERROR(VLOOKUP(A20,'Margini Clienti'!$A:$AG,17,FALSE)+VLOOKUP(A20,'Margini Clienti'!$A:$AG,18,FALSE)+VLOOKUP(A20,'Margini Clienti'!$A:$AG,19,FALSE),0)</x:f>
        <x:v>0</x:v>
      </x:c>
      <x:c r="I20" s="197"/>
      <x:c r="J20" s="197"/>
      <x:c r="K20" s="197"/>
      <x:c r="L20" s="197"/>
      <x:c r="M20" s="197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  <x:c r="AA20" s="39"/>
      <x:c r="AB20" s="39"/>
      <x:c r="AC20" s="39"/>
      <x:c r="AD20" s="39"/>
      <x:c r="AE20" s="39"/>
      <x:c r="AF20" s="39"/>
      <x:c r="AG20" s="39"/>
    </x:row>
    <x:row r="21">
      <x:c r="A21" s="197"/>
      <x:c r="B21" s="198" t="str">
        <x:f>IFERROR(VLOOKUP(A21,'Margini Clienti'!$A:$AG,6,FALSE),0)</x:f>
      </x:c>
      <x:c r="C21" s="198" t="str">
        <x:f>IFERROR(VLOOKUP(A21,'Margini Clienti'!$A:$AG,22,FALSE),0)</x:f>
      </x:c>
      <x:c r="D21" s="197"/>
      <x:c r="E21" s="198" t="n">
        <x:f>D21-B21</x:f>
        <x:v>0</x:v>
      </x:c>
      <x:c r="F21" s="198" t="str">
        <x:f>IFERROR(VLOOKUP(A21,'Margini Clienti'!$A:$AG,23,FALSE),0)</x:f>
      </x:c>
      <x:c r="G21" s="198" t="n">
        <x:f>F21+E21</x:f>
        <x:v>0</x:v>
      </x:c>
      <x:c r="H21" s="198" t="n">
        <x:f>IFERROR(VLOOKUP(A21,'Margini Clienti'!$A:$AG,17,FALSE)+VLOOKUP(A21,'Margini Clienti'!$A:$AG,18,FALSE)+VLOOKUP(A21,'Margini Clienti'!$A:$AG,19,FALSE),0)</x:f>
        <x:v>0</x:v>
      </x:c>
      <x:c r="I21" s="197"/>
      <x:c r="J21" s="197"/>
      <x:c r="K21" s="197"/>
      <x:c r="L21" s="197"/>
      <x:c r="M21" s="197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  <x:c r="AA21" s="39"/>
      <x:c r="AB21" s="39"/>
      <x:c r="AC21" s="39"/>
      <x:c r="AD21" s="39"/>
      <x:c r="AE21" s="39"/>
      <x:c r="AF21" s="39"/>
      <x:c r="AG21" s="39"/>
    </x:row>
    <x:row r="22">
      <x:c r="A22" s="197"/>
      <x:c r="B22" s="198" t="str">
        <x:f>IFERROR(VLOOKUP(A22,'Margini Clienti'!$A:$AG,6,FALSE),0)</x:f>
      </x:c>
      <x:c r="C22" s="198" t="str">
        <x:f>IFERROR(VLOOKUP(A22,'Margini Clienti'!$A:$AG,22,FALSE),0)</x:f>
      </x:c>
      <x:c r="D22" s="197"/>
      <x:c r="E22" s="198" t="n">
        <x:f>D22-B22</x:f>
        <x:v>0</x:v>
      </x:c>
      <x:c r="F22" s="198" t="str">
        <x:f>IFERROR(VLOOKUP(A22,'Margini Clienti'!$A:$AG,23,FALSE),0)</x:f>
      </x:c>
      <x:c r="G22" s="198" t="n">
        <x:f>F22+E22</x:f>
        <x:v>0</x:v>
      </x:c>
      <x:c r="H22" s="198" t="n">
        <x:f>IFERROR(VLOOKUP(A22,'Margini Clienti'!$A:$AG,17,FALSE)+VLOOKUP(A22,'Margini Clienti'!$A:$AG,18,FALSE)+VLOOKUP(A22,'Margini Clienti'!$A:$AG,19,FALSE),0)</x:f>
        <x:v>0</x:v>
      </x:c>
      <x:c r="I22" s="197"/>
      <x:c r="J22" s="197"/>
      <x:c r="K22" s="197"/>
      <x:c r="L22" s="197"/>
      <x:c r="M22" s="197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  <x:c r="AA22" s="39"/>
      <x:c r="AB22" s="39"/>
      <x:c r="AC22" s="39"/>
      <x:c r="AD22" s="39"/>
      <x:c r="AE22" s="39"/>
      <x:c r="AF22" s="39"/>
      <x:c r="AG22" s="39"/>
    </x:row>
    <x:row r="23">
      <x:c r="A23" s="197"/>
      <x:c r="B23" s="198" t="str">
        <x:f>IFERROR(VLOOKUP(A23,'Margini Clienti'!$A:$AG,6,FALSE),0)</x:f>
      </x:c>
      <x:c r="C23" s="198" t="str">
        <x:f>IFERROR(VLOOKUP(A23,'Margini Clienti'!$A:$AG,22,FALSE),0)</x:f>
      </x:c>
      <x:c r="D23" s="197"/>
      <x:c r="E23" s="198" t="n">
        <x:f>D23-B23</x:f>
        <x:v>0</x:v>
      </x:c>
      <x:c r="F23" s="198" t="str">
        <x:f>IFERROR(VLOOKUP(A23,'Margini Clienti'!$A:$AG,23,FALSE),0)</x:f>
      </x:c>
      <x:c r="G23" s="198" t="n">
        <x:f>F23+E23</x:f>
        <x:v>0</x:v>
      </x:c>
      <x:c r="H23" s="198" t="n">
        <x:f>IFERROR(VLOOKUP(A23,'Margini Clienti'!$A:$AG,17,FALSE)+VLOOKUP(A23,'Margini Clienti'!$A:$AG,18,FALSE)+VLOOKUP(A23,'Margini Clienti'!$A:$AG,19,FALSE),0)</x:f>
        <x:v>0</x:v>
      </x:c>
      <x:c r="I23" s="197"/>
      <x:c r="J23" s="197"/>
      <x:c r="K23" s="197"/>
      <x:c r="L23" s="197"/>
      <x:c r="M23" s="197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  <x:c r="AA23" s="39"/>
      <x:c r="AB23" s="39"/>
      <x:c r="AC23" s="39"/>
      <x:c r="AD23" s="39"/>
      <x:c r="AE23" s="39"/>
      <x:c r="AF23" s="39"/>
      <x:c r="AG23" s="39"/>
    </x:row>
    <x:row r="24">
      <x:c r="A24" s="197"/>
      <x:c r="B24" s="198" t="str">
        <x:f>IFERROR(VLOOKUP(A24,'Margini Clienti'!$A:$AG,6,FALSE),0)</x:f>
      </x:c>
      <x:c r="C24" s="198" t="str">
        <x:f>IFERROR(VLOOKUP(A24,'Margini Clienti'!$A:$AG,22,FALSE),0)</x:f>
      </x:c>
      <x:c r="D24" s="197"/>
      <x:c r="E24" s="198" t="n">
        <x:f>D24-B24</x:f>
        <x:v>0</x:v>
      </x:c>
      <x:c r="F24" s="198" t="str">
        <x:f>IFERROR(VLOOKUP(A24,'Margini Clienti'!$A:$AG,23,FALSE),0)</x:f>
      </x:c>
      <x:c r="G24" s="198" t="n">
        <x:f>F24+E24</x:f>
        <x:v>0</x:v>
      </x:c>
      <x:c r="H24" s="198" t="n">
        <x:f>IFERROR(VLOOKUP(A24,'Margini Clienti'!$A:$AG,17,FALSE)+VLOOKUP(A24,'Margini Clienti'!$A:$AG,18,FALSE)+VLOOKUP(A24,'Margini Clienti'!$A:$AG,19,FALSE),0)</x:f>
        <x:v>0</x:v>
      </x:c>
      <x:c r="I24" s="197"/>
      <x:c r="J24" s="197"/>
      <x:c r="K24" s="197"/>
      <x:c r="L24" s="197"/>
      <x:c r="M24" s="197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  <x:c r="AA24" s="39"/>
      <x:c r="AB24" s="39"/>
      <x:c r="AC24" s="39"/>
      <x:c r="AD24" s="39"/>
      <x:c r="AE24" s="39"/>
      <x:c r="AF24" s="39"/>
      <x:c r="AG24" s="39"/>
    </x:row>
    <x:row r="25">
      <x:c r="A25" s="197"/>
      <x:c r="B25" s="198" t="str">
        <x:f>IFERROR(VLOOKUP(A25,'Margini Clienti'!$A:$AG,6,FALSE),0)</x:f>
      </x:c>
      <x:c r="C25" s="198" t="str">
        <x:f>IFERROR(VLOOKUP(A25,'Margini Clienti'!$A:$AG,22,FALSE),0)</x:f>
      </x:c>
      <x:c r="D25" s="197"/>
      <x:c r="E25" s="198" t="n">
        <x:f>D25-B25</x:f>
        <x:v>0</x:v>
      </x:c>
      <x:c r="F25" s="198" t="str">
        <x:f>IFERROR(VLOOKUP(A25,'Margini Clienti'!$A:$AG,23,FALSE),0)</x:f>
      </x:c>
      <x:c r="G25" s="198" t="n">
        <x:f>F25+E25</x:f>
        <x:v>0</x:v>
      </x:c>
      <x:c r="H25" s="198" t="n">
        <x:f>IFERROR(VLOOKUP(A25,'Margini Clienti'!$A:$AG,17,FALSE)+VLOOKUP(A25,'Margini Clienti'!$A:$AG,18,FALSE)+VLOOKUP(A25,'Margini Clienti'!$A:$AG,19,FALSE),0)</x:f>
        <x:v>0</x:v>
      </x:c>
      <x:c r="I25" s="197"/>
      <x:c r="J25" s="197"/>
      <x:c r="K25" s="197"/>
      <x:c r="L25" s="197"/>
      <x:c r="M25" s="197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  <x:c r="AA25" s="39"/>
      <x:c r="AB25" s="39"/>
      <x:c r="AC25" s="39"/>
      <x:c r="AD25" s="39"/>
      <x:c r="AE25" s="39"/>
      <x:c r="AF25" s="39"/>
      <x:c r="AG25" s="39"/>
    </x:row>
    <x:row r="26">
      <x:c r="A26" s="197"/>
      <x:c r="B26" s="198" t="str">
        <x:f>IFERROR(VLOOKUP(A26,'Margini Clienti'!$A:$AG,6,FALSE),0)</x:f>
      </x:c>
      <x:c r="C26" s="198" t="str">
        <x:f>IFERROR(VLOOKUP(A26,'Margini Clienti'!$A:$AG,22,FALSE),0)</x:f>
      </x:c>
      <x:c r="D26" s="197"/>
      <x:c r="E26" s="198" t="n">
        <x:f>D26-B26</x:f>
        <x:v>0</x:v>
      </x:c>
      <x:c r="F26" s="198" t="str">
        <x:f>IFERROR(VLOOKUP(A26,'Margini Clienti'!$A:$AG,23,FALSE),0)</x:f>
      </x:c>
      <x:c r="G26" s="198" t="n">
        <x:f>F26+E26</x:f>
        <x:v>0</x:v>
      </x:c>
      <x:c r="H26" s="198" t="n">
        <x:f>IFERROR(VLOOKUP(A26,'Margini Clienti'!$A:$AG,17,FALSE)+VLOOKUP(A26,'Margini Clienti'!$A:$AG,18,FALSE)+VLOOKUP(A26,'Margini Clienti'!$A:$AG,19,FALSE),0)</x:f>
        <x:v>0</x:v>
      </x:c>
      <x:c r="I26" s="197"/>
      <x:c r="J26" s="197"/>
      <x:c r="K26" s="197"/>
      <x:c r="L26" s="197"/>
      <x:c r="M26" s="197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  <x:c r="AA26" s="39"/>
      <x:c r="AB26" s="39"/>
      <x:c r="AC26" s="39"/>
      <x:c r="AD26" s="39"/>
      <x:c r="AE26" s="39"/>
      <x:c r="AF26" s="39"/>
      <x:c r="AG26" s="39"/>
    </x:row>
    <x:row r="27">
      <x:c r="A27" s="197"/>
      <x:c r="B27" s="198" t="str">
        <x:f>IFERROR(VLOOKUP(A27,'Margini Clienti'!$A:$AG,6,FALSE),0)</x:f>
      </x:c>
      <x:c r="C27" s="198" t="str">
        <x:f>IFERROR(VLOOKUP(A27,'Margini Clienti'!$A:$AG,22,FALSE),0)</x:f>
      </x:c>
      <x:c r="D27" s="197"/>
      <x:c r="E27" s="198" t="n">
        <x:f>D27-B27</x:f>
        <x:v>0</x:v>
      </x:c>
      <x:c r="F27" s="198" t="str">
        <x:f>IFERROR(VLOOKUP(A27,'Margini Clienti'!$A:$AG,23,FALSE),0)</x:f>
      </x:c>
      <x:c r="G27" s="198" t="n">
        <x:f>F27+E27</x:f>
        <x:v>0</x:v>
      </x:c>
      <x:c r="H27" s="198" t="n">
        <x:f>IFERROR(VLOOKUP(A27,'Margini Clienti'!$A:$AG,17,FALSE)+VLOOKUP(A27,'Margini Clienti'!$A:$AG,18,FALSE)+VLOOKUP(A27,'Margini Clienti'!$A:$AG,19,FALSE),0)</x:f>
        <x:v>0</x:v>
      </x:c>
      <x:c r="I27" s="197"/>
      <x:c r="J27" s="197"/>
      <x:c r="K27" s="197"/>
      <x:c r="L27" s="197"/>
      <x:c r="M27" s="197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  <x:c r="AA27" s="39"/>
      <x:c r="AB27" s="39"/>
      <x:c r="AC27" s="39"/>
      <x:c r="AD27" s="39"/>
      <x:c r="AE27" s="39"/>
      <x:c r="AF27" s="39"/>
      <x:c r="AG27" s="39"/>
    </x:row>
    <x:row r="28">
      <x:c r="A28" s="197"/>
      <x:c r="B28" s="198" t="str">
        <x:f>IFERROR(VLOOKUP(A28,'Margini Clienti'!$A:$AG,6,FALSE),0)</x:f>
      </x:c>
      <x:c r="C28" s="198" t="str">
        <x:f>IFERROR(VLOOKUP(A28,'Margini Clienti'!$A:$AG,22,FALSE),0)</x:f>
      </x:c>
      <x:c r="D28" s="197"/>
      <x:c r="E28" s="198" t="n">
        <x:f>D28-B28</x:f>
        <x:v>0</x:v>
      </x:c>
      <x:c r="F28" s="198" t="str">
        <x:f>IFERROR(VLOOKUP(A28,'Margini Clienti'!$A:$AG,23,FALSE),0)</x:f>
      </x:c>
      <x:c r="G28" s="198" t="n">
        <x:f>F28+E28</x:f>
        <x:v>0</x:v>
      </x:c>
      <x:c r="H28" s="198" t="n">
        <x:f>IFERROR(VLOOKUP(A28,'Margini Clienti'!$A:$AG,17,FALSE)+VLOOKUP(A28,'Margini Clienti'!$A:$AG,18,FALSE)+VLOOKUP(A28,'Margini Clienti'!$A:$AG,19,FALSE),0)</x:f>
        <x:v>0</x:v>
      </x:c>
      <x:c r="I28" s="197"/>
      <x:c r="J28" s="197"/>
      <x:c r="K28" s="197"/>
      <x:c r="L28" s="197"/>
      <x:c r="M28" s="197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  <x:c r="AA28" s="39"/>
      <x:c r="AB28" s="39"/>
      <x:c r="AC28" s="39"/>
      <x:c r="AD28" s="39"/>
      <x:c r="AE28" s="39"/>
      <x:c r="AF28" s="39"/>
      <x:c r="AG28" s="39"/>
    </x:row>
    <x:row r="29">
      <x:c r="A29" s="197"/>
      <x:c r="B29" s="198" t="str">
        <x:f>IFERROR(VLOOKUP(A29,'Margini Clienti'!$A:$AG,6,FALSE),0)</x:f>
      </x:c>
      <x:c r="C29" s="198" t="str">
        <x:f>IFERROR(VLOOKUP(A29,'Margini Clienti'!$A:$AG,22,FALSE),0)</x:f>
      </x:c>
      <x:c r="D29" s="197"/>
      <x:c r="E29" s="198" t="n">
        <x:f>D29-B29</x:f>
        <x:v>0</x:v>
      </x:c>
      <x:c r="F29" s="198" t="str">
        <x:f>IFERROR(VLOOKUP(A29,'Margini Clienti'!$A:$AG,23,FALSE),0)</x:f>
      </x:c>
      <x:c r="G29" s="198" t="n">
        <x:f>F29+E29</x:f>
        <x:v>0</x:v>
      </x:c>
      <x:c r="H29" s="198" t="n">
        <x:f>IFERROR(VLOOKUP(A29,'Margini Clienti'!$A:$AG,17,FALSE)+VLOOKUP(A29,'Margini Clienti'!$A:$AG,18,FALSE)+VLOOKUP(A29,'Margini Clienti'!$A:$AG,19,FALSE),0)</x:f>
        <x:v>0</x:v>
      </x:c>
      <x:c r="I29" s="197"/>
      <x:c r="J29" s="197"/>
      <x:c r="K29" s="197"/>
      <x:c r="L29" s="197"/>
      <x:c r="M29" s="197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  <x:c r="AA29" s="39"/>
      <x:c r="AB29" s="39"/>
      <x:c r="AC29" s="39"/>
      <x:c r="AD29" s="39"/>
      <x:c r="AE29" s="39"/>
      <x:c r="AF29" s="39"/>
      <x:c r="AG29" s="39"/>
    </x:row>
    <x:row r="30">
      <x:c r="A30" s="197"/>
      <x:c r="B30" s="198" t="str">
        <x:f>IFERROR(VLOOKUP(A30,'Margini Clienti'!$A:$AG,6,FALSE),0)</x:f>
      </x:c>
      <x:c r="C30" s="198" t="str">
        <x:f>IFERROR(VLOOKUP(A30,'Margini Clienti'!$A:$AG,22,FALSE),0)</x:f>
      </x:c>
      <x:c r="D30" s="197"/>
      <x:c r="E30" s="198" t="n">
        <x:f>D30-B30</x:f>
        <x:v>0</x:v>
      </x:c>
      <x:c r="F30" s="198" t="str">
        <x:f>IFERROR(VLOOKUP(A30,'Margini Clienti'!$A:$AG,23,FALSE),0)</x:f>
      </x:c>
      <x:c r="G30" s="198" t="n">
        <x:f>F30+E30</x:f>
        <x:v>0</x:v>
      </x:c>
      <x:c r="H30" s="198" t="n">
        <x:f>IFERROR(VLOOKUP(A30,'Margini Clienti'!$A:$AG,17,FALSE)+VLOOKUP(A30,'Margini Clienti'!$A:$AG,18,FALSE)+VLOOKUP(A30,'Margini Clienti'!$A:$AG,19,FALSE),0)</x:f>
        <x:v>0</x:v>
      </x:c>
      <x:c r="I30" s="197"/>
      <x:c r="J30" s="197"/>
      <x:c r="K30" s="197"/>
      <x:c r="L30" s="197"/>
      <x:c r="M30" s="197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  <x:c r="AA30" s="39"/>
      <x:c r="AB30" s="39"/>
      <x:c r="AC30" s="39"/>
      <x:c r="AD30" s="39"/>
      <x:c r="AE30" s="39"/>
      <x:c r="AF30" s="39"/>
      <x:c r="AG30" s="39"/>
    </x:row>
    <x:row r="31">
      <x:c r="A31" s="197"/>
      <x:c r="B31" s="198" t="str">
        <x:f>IFERROR(VLOOKUP(A31,'Margini Clienti'!$A:$AG,6,FALSE),0)</x:f>
      </x:c>
      <x:c r="C31" s="198" t="str">
        <x:f>IFERROR(VLOOKUP(A31,'Margini Clienti'!$A:$AG,22,FALSE),0)</x:f>
      </x:c>
      <x:c r="D31" s="197"/>
      <x:c r="E31" s="198" t="n">
        <x:f>D31-B31</x:f>
        <x:v>0</x:v>
      </x:c>
      <x:c r="F31" s="198" t="str">
        <x:f>IFERROR(VLOOKUP(A31,'Margini Clienti'!$A:$AG,23,FALSE),0)</x:f>
      </x:c>
      <x:c r="G31" s="198" t="n">
        <x:f>F31+E31</x:f>
        <x:v>0</x:v>
      </x:c>
      <x:c r="H31" s="198" t="n">
        <x:f>IFERROR(VLOOKUP(A31,'Margini Clienti'!$A:$AG,17,FALSE)+VLOOKUP(A31,'Margini Clienti'!$A:$AG,18,FALSE)+VLOOKUP(A31,'Margini Clienti'!$A:$AG,19,FALSE),0)</x:f>
        <x:v>0</x:v>
      </x:c>
      <x:c r="I31" s="197"/>
      <x:c r="J31" s="197"/>
      <x:c r="K31" s="197"/>
      <x:c r="L31" s="197"/>
      <x:c r="M31" s="197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  <x:c r="AA31" s="39"/>
      <x:c r="AB31" s="39"/>
      <x:c r="AC31" s="39"/>
      <x:c r="AD31" s="39"/>
      <x:c r="AE31" s="39"/>
      <x:c r="AF31" s="39"/>
      <x:c r="AG31" s="39"/>
    </x:row>
    <x:row r="32">
      <x:c r="A32" s="197"/>
      <x:c r="B32" s="198" t="str">
        <x:f>IFERROR(VLOOKUP(A32,'Margini Clienti'!$A:$AG,6,FALSE),0)</x:f>
      </x:c>
      <x:c r="C32" s="198" t="str">
        <x:f>IFERROR(VLOOKUP(A32,'Margini Clienti'!$A:$AG,22,FALSE),0)</x:f>
      </x:c>
      <x:c r="D32" s="197"/>
      <x:c r="E32" s="198" t="n">
        <x:f>D32-B32</x:f>
        <x:v>0</x:v>
      </x:c>
      <x:c r="F32" s="198" t="str">
        <x:f>IFERROR(VLOOKUP(A32,'Margini Clienti'!$A:$AG,23,FALSE),0)</x:f>
      </x:c>
      <x:c r="G32" s="198" t="n">
        <x:f>F32+E32</x:f>
        <x:v>0</x:v>
      </x:c>
      <x:c r="H32" s="198" t="n">
        <x:f>IFERROR(VLOOKUP(A32,'Margini Clienti'!$A:$AG,17,FALSE)+VLOOKUP(A32,'Margini Clienti'!$A:$AG,18,FALSE)+VLOOKUP(A32,'Margini Clienti'!$A:$AG,19,FALSE),0)</x:f>
        <x:v>0</x:v>
      </x:c>
      <x:c r="I32" s="197"/>
      <x:c r="J32" s="197"/>
      <x:c r="K32" s="197"/>
      <x:c r="L32" s="197"/>
      <x:c r="M32" s="197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  <x:c r="AA32" s="39"/>
      <x:c r="AB32" s="39"/>
      <x:c r="AC32" s="39"/>
      <x:c r="AD32" s="39"/>
      <x:c r="AE32" s="39"/>
      <x:c r="AF32" s="39"/>
      <x:c r="AG32" s="39"/>
    </x:row>
    <x:row r="33">
      <x:c r="A33" s="197"/>
      <x:c r="B33" s="198" t="str">
        <x:f>IFERROR(VLOOKUP(A33,'Margini Clienti'!$A:$AG,6,FALSE),0)</x:f>
      </x:c>
      <x:c r="C33" s="198" t="str">
        <x:f>IFERROR(VLOOKUP(A33,'Margini Clienti'!$A:$AG,22,FALSE),0)</x:f>
      </x:c>
      <x:c r="D33" s="197"/>
      <x:c r="E33" s="198" t="n">
        <x:f>D33-B33</x:f>
        <x:v>0</x:v>
      </x:c>
      <x:c r="F33" s="198" t="str">
        <x:f>IFERROR(VLOOKUP(A33,'Margini Clienti'!$A:$AG,23,FALSE),0)</x:f>
      </x:c>
      <x:c r="G33" s="198" t="n">
        <x:f>F33+E33</x:f>
        <x:v>0</x:v>
      </x:c>
      <x:c r="H33" s="198" t="n">
        <x:f>IFERROR(VLOOKUP(A33,'Margini Clienti'!$A:$AG,17,FALSE)+VLOOKUP(A33,'Margini Clienti'!$A:$AG,18,FALSE)+VLOOKUP(A33,'Margini Clienti'!$A:$AG,19,FALSE),0)</x:f>
        <x:v>0</x:v>
      </x:c>
      <x:c r="I33" s="197"/>
      <x:c r="J33" s="197"/>
      <x:c r="K33" s="197"/>
      <x:c r="L33" s="197"/>
      <x:c r="M33" s="197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  <x:c r="AA33" s="39"/>
      <x:c r="AB33" s="39"/>
      <x:c r="AC33" s="39"/>
      <x:c r="AD33" s="39"/>
      <x:c r="AE33" s="39"/>
      <x:c r="AF33" s="39"/>
      <x:c r="AG33" s="39"/>
    </x:row>
    <x:row r="34">
      <x:c r="A34" s="197"/>
      <x:c r="B34" s="198" t="str">
        <x:f>IFERROR(VLOOKUP(A34,'Margini Clienti'!$A:$AG,6,FALSE),0)</x:f>
      </x:c>
      <x:c r="C34" s="198" t="str">
        <x:f>IFERROR(VLOOKUP(A34,'Margini Clienti'!$A:$AG,22,FALSE),0)</x:f>
      </x:c>
      <x:c r="D34" s="197"/>
      <x:c r="E34" s="198" t="n">
        <x:f>D34-B34</x:f>
        <x:v>0</x:v>
      </x:c>
      <x:c r="F34" s="198" t="str">
        <x:f>IFERROR(VLOOKUP(A34,'Margini Clienti'!$A:$AG,23,FALSE),0)</x:f>
      </x:c>
      <x:c r="G34" s="198" t="n">
        <x:f>F34+E34</x:f>
        <x:v>0</x:v>
      </x:c>
      <x:c r="H34" s="198" t="n">
        <x:f>IFERROR(VLOOKUP(A34,'Margini Clienti'!$A:$AG,17,FALSE)+VLOOKUP(A34,'Margini Clienti'!$A:$AG,18,FALSE)+VLOOKUP(A34,'Margini Clienti'!$A:$AG,19,FALSE),0)</x:f>
        <x:v>0</x:v>
      </x:c>
      <x:c r="I34" s="197"/>
      <x:c r="J34" s="197"/>
      <x:c r="K34" s="197"/>
      <x:c r="L34" s="197"/>
      <x:c r="M34" s="197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  <x:c r="AA34" s="39"/>
      <x:c r="AB34" s="39"/>
      <x:c r="AC34" s="39"/>
      <x:c r="AD34" s="39"/>
      <x:c r="AE34" s="39"/>
      <x:c r="AF34" s="39"/>
      <x:c r="AG34" s="39"/>
    </x:row>
    <x:row r="35">
      <x:c r="A35" s="197"/>
      <x:c r="B35" s="198" t="str">
        <x:f>IFERROR(VLOOKUP(A35,'Margini Clienti'!$A:$AG,6,FALSE),0)</x:f>
      </x:c>
      <x:c r="C35" s="198" t="str">
        <x:f>IFERROR(VLOOKUP(A35,'Margini Clienti'!$A:$AG,22,FALSE),0)</x:f>
      </x:c>
      <x:c r="D35" s="197"/>
      <x:c r="E35" s="198" t="n">
        <x:f>D35-B35</x:f>
        <x:v>0</x:v>
      </x:c>
      <x:c r="F35" s="198" t="str">
        <x:f>IFERROR(VLOOKUP(A35,'Margini Clienti'!$A:$AG,23,FALSE),0)</x:f>
      </x:c>
      <x:c r="G35" s="198" t="n">
        <x:f>F35+E35</x:f>
        <x:v>0</x:v>
      </x:c>
      <x:c r="H35" s="198" t="n">
        <x:f>IFERROR(VLOOKUP(A35,'Margini Clienti'!$A:$AG,17,FALSE)+VLOOKUP(A35,'Margini Clienti'!$A:$AG,18,FALSE)+VLOOKUP(A35,'Margini Clienti'!$A:$AG,19,FALSE),0)</x:f>
        <x:v>0</x:v>
      </x:c>
      <x:c r="I35" s="197"/>
      <x:c r="J35" s="197"/>
      <x:c r="K35" s="197"/>
      <x:c r="L35" s="197"/>
      <x:c r="M35" s="197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  <x:c r="AA35" s="39"/>
      <x:c r="AB35" s="39"/>
      <x:c r="AC35" s="39"/>
      <x:c r="AD35" s="39"/>
      <x:c r="AE35" s="39"/>
      <x:c r="AF35" s="39"/>
      <x:c r="AG35" s="39"/>
    </x:row>
    <x:row r="36">
      <x:c r="A36" s="197"/>
      <x:c r="B36" s="198" t="str">
        <x:f>IFERROR(VLOOKUP(A36,'Margini Clienti'!$A:$AG,6,FALSE),0)</x:f>
      </x:c>
      <x:c r="C36" s="198" t="str">
        <x:f>IFERROR(VLOOKUP(A36,'Margini Clienti'!$A:$AG,22,FALSE),0)</x:f>
      </x:c>
      <x:c r="D36" s="197"/>
      <x:c r="E36" s="198" t="n">
        <x:f>D36-B36</x:f>
        <x:v>0</x:v>
      </x:c>
      <x:c r="F36" s="198" t="str">
        <x:f>IFERROR(VLOOKUP(A36,'Margini Clienti'!$A:$AG,23,FALSE),0)</x:f>
      </x:c>
      <x:c r="G36" s="198" t="n">
        <x:f>F36+E36</x:f>
        <x:v>0</x:v>
      </x:c>
      <x:c r="H36" s="198" t="n">
        <x:f>IFERROR(VLOOKUP(A36,'Margini Clienti'!$A:$AG,17,FALSE)+VLOOKUP(A36,'Margini Clienti'!$A:$AG,18,FALSE)+VLOOKUP(A36,'Margini Clienti'!$A:$AG,19,FALSE),0)</x:f>
        <x:v>0</x:v>
      </x:c>
      <x:c r="I36" s="197"/>
      <x:c r="J36" s="197"/>
      <x:c r="K36" s="197"/>
      <x:c r="L36" s="197"/>
      <x:c r="M36" s="197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  <x:c r="AA36" s="39"/>
      <x:c r="AB36" s="39"/>
      <x:c r="AC36" s="39"/>
      <x:c r="AD36" s="39"/>
      <x:c r="AE36" s="39"/>
      <x:c r="AF36" s="39"/>
      <x:c r="AG36" s="39"/>
    </x:row>
    <x:row r="37">
      <x:c r="A37" s="197"/>
      <x:c r="B37" s="198" t="str">
        <x:f>IFERROR(VLOOKUP(A37,'Margini Clienti'!$A:$AG,6,FALSE),0)</x:f>
      </x:c>
      <x:c r="C37" s="198" t="str">
        <x:f>IFERROR(VLOOKUP(A37,'Margini Clienti'!$A:$AG,22,FALSE),0)</x:f>
      </x:c>
      <x:c r="D37" s="197"/>
      <x:c r="E37" s="198" t="n">
        <x:f>D37-B37</x:f>
        <x:v>0</x:v>
      </x:c>
      <x:c r="F37" s="198" t="str">
        <x:f>IFERROR(VLOOKUP(A37,'Margini Clienti'!$A:$AG,23,FALSE),0)</x:f>
      </x:c>
      <x:c r="G37" s="198" t="n">
        <x:f>F37+E37</x:f>
        <x:v>0</x:v>
      </x:c>
      <x:c r="H37" s="198" t="n">
        <x:f>IFERROR(VLOOKUP(A37,'Margini Clienti'!$A:$AG,17,FALSE)+VLOOKUP(A37,'Margini Clienti'!$A:$AG,18,FALSE)+VLOOKUP(A37,'Margini Clienti'!$A:$AG,19,FALSE),0)</x:f>
        <x:v>0</x:v>
      </x:c>
      <x:c r="I37" s="197"/>
      <x:c r="J37" s="197"/>
      <x:c r="K37" s="197"/>
      <x:c r="L37" s="197"/>
      <x:c r="M37" s="197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  <x:c r="AA37" s="39"/>
      <x:c r="AB37" s="39"/>
      <x:c r="AC37" s="39"/>
      <x:c r="AD37" s="39"/>
      <x:c r="AE37" s="39"/>
      <x:c r="AF37" s="39"/>
      <x:c r="AG37" s="39"/>
    </x:row>
    <x:row r="38">
      <x:c r="A38" s="197"/>
      <x:c r="B38" s="198" t="str">
        <x:f>IFERROR(VLOOKUP(A38,'Margini Clienti'!$A:$AG,6,FALSE),0)</x:f>
      </x:c>
      <x:c r="C38" s="198" t="str">
        <x:f>IFERROR(VLOOKUP(A38,'Margini Clienti'!$A:$AG,22,FALSE),0)</x:f>
      </x:c>
      <x:c r="D38" s="197"/>
      <x:c r="E38" s="198" t="n">
        <x:f>D38-B38</x:f>
        <x:v>0</x:v>
      </x:c>
      <x:c r="F38" s="198" t="str">
        <x:f>IFERROR(VLOOKUP(A38,'Margini Clienti'!$A:$AG,23,FALSE),0)</x:f>
      </x:c>
      <x:c r="G38" s="198" t="n">
        <x:f>F38+E38</x:f>
        <x:v>0</x:v>
      </x:c>
      <x:c r="H38" s="198" t="n">
        <x:f>IFERROR(VLOOKUP(A38,'Margini Clienti'!$A:$AG,17,FALSE)+VLOOKUP(A38,'Margini Clienti'!$A:$AG,18,FALSE)+VLOOKUP(A38,'Margini Clienti'!$A:$AG,19,FALSE),0)</x:f>
        <x:v>0</x:v>
      </x:c>
      <x:c r="I38" s="197"/>
      <x:c r="J38" s="197"/>
      <x:c r="K38" s="197"/>
      <x:c r="L38" s="197"/>
      <x:c r="M38" s="197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  <x:c r="AA38" s="39"/>
      <x:c r="AB38" s="39"/>
      <x:c r="AC38" s="39"/>
      <x:c r="AD38" s="39"/>
      <x:c r="AE38" s="39"/>
      <x:c r="AF38" s="39"/>
      <x:c r="AG38" s="39"/>
    </x:row>
    <x:row r="39">
      <x:c r="A39" s="197"/>
      <x:c r="B39" s="198" t="str">
        <x:f>IFERROR(VLOOKUP(A39,'Margini Clienti'!$A:$AG,6,FALSE),0)</x:f>
      </x:c>
      <x:c r="C39" s="198" t="str">
        <x:f>IFERROR(VLOOKUP(A39,'Margini Clienti'!$A:$AG,22,FALSE),0)</x:f>
      </x:c>
      <x:c r="D39" s="197"/>
      <x:c r="E39" s="198" t="n">
        <x:f>D39-B39</x:f>
        <x:v>0</x:v>
      </x:c>
      <x:c r="F39" s="198" t="str">
        <x:f>IFERROR(VLOOKUP(A39,'Margini Clienti'!$A:$AG,23,FALSE),0)</x:f>
      </x:c>
      <x:c r="G39" s="198" t="n">
        <x:f>F39+E39</x:f>
        <x:v>0</x:v>
      </x:c>
      <x:c r="H39" s="198" t="n">
        <x:f>IFERROR(VLOOKUP(A39,'Margini Clienti'!$A:$AG,17,FALSE)+VLOOKUP(A39,'Margini Clienti'!$A:$AG,18,FALSE)+VLOOKUP(A39,'Margini Clienti'!$A:$AG,19,FALSE),0)</x:f>
        <x:v>0</x:v>
      </x:c>
      <x:c r="I39" s="197"/>
      <x:c r="J39" s="197"/>
      <x:c r="K39" s="197"/>
      <x:c r="L39" s="197"/>
      <x:c r="M39" s="197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  <x:c r="AA39" s="39"/>
      <x:c r="AB39" s="39"/>
      <x:c r="AC39" s="39"/>
      <x:c r="AD39" s="39"/>
      <x:c r="AE39" s="39"/>
      <x:c r="AF39" s="39"/>
      <x:c r="AG39" s="39"/>
    </x:row>
    <x:row r="40">
      <x:c r="A40" s="197"/>
      <x:c r="B40" s="198" t="str">
        <x:f>IFERROR(VLOOKUP(A40,'Margini Clienti'!$A:$AG,6,FALSE),0)</x:f>
      </x:c>
      <x:c r="C40" s="198" t="str">
        <x:f>IFERROR(VLOOKUP(A40,'Margini Clienti'!$A:$AG,22,FALSE),0)</x:f>
      </x:c>
      <x:c r="D40" s="197"/>
      <x:c r="E40" s="198" t="n">
        <x:f>D40-B40</x:f>
        <x:v>0</x:v>
      </x:c>
      <x:c r="F40" s="198" t="str">
        <x:f>IFERROR(VLOOKUP(A40,'Margini Clienti'!$A:$AG,23,FALSE),0)</x:f>
      </x:c>
      <x:c r="G40" s="198" t="n">
        <x:f>F40+E40</x:f>
        <x:v>0</x:v>
      </x:c>
      <x:c r="H40" s="198" t="n">
        <x:f>IFERROR(VLOOKUP(A40,'Margini Clienti'!$A:$AG,17,FALSE)+VLOOKUP(A40,'Margini Clienti'!$A:$AG,18,FALSE)+VLOOKUP(A40,'Margini Clienti'!$A:$AG,19,FALSE),0)</x:f>
        <x:v>0</x:v>
      </x:c>
      <x:c r="I40" s="197"/>
      <x:c r="J40" s="197"/>
      <x:c r="K40" s="197"/>
      <x:c r="L40" s="197"/>
      <x:c r="M40" s="197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  <x:c r="AA40" s="39"/>
      <x:c r="AB40" s="39"/>
      <x:c r="AC40" s="39"/>
      <x:c r="AD40" s="39"/>
      <x:c r="AE40" s="39"/>
      <x:c r="AF40" s="39"/>
      <x:c r="AG40" s="39"/>
    </x:row>
    <x:row r="41">
      <x:c r="A41" s="197"/>
      <x:c r="B41" s="198" t="str">
        <x:f>IFERROR(VLOOKUP(A41,'Margini Clienti'!$A:$AG,6,FALSE),0)</x:f>
      </x:c>
      <x:c r="C41" s="198" t="str">
        <x:f>IFERROR(VLOOKUP(A41,'Margini Clienti'!$A:$AG,22,FALSE),0)</x:f>
      </x:c>
      <x:c r="D41" s="197"/>
      <x:c r="E41" s="198" t="n">
        <x:f>D41-B41</x:f>
        <x:v>0</x:v>
      </x:c>
      <x:c r="F41" s="198" t="str">
        <x:f>IFERROR(VLOOKUP(A41,'Margini Clienti'!$A:$AG,23,FALSE),0)</x:f>
      </x:c>
      <x:c r="G41" s="198" t="n">
        <x:f>F41+E41</x:f>
        <x:v>0</x:v>
      </x:c>
      <x:c r="H41" s="198" t="n">
        <x:f>IFERROR(VLOOKUP(A41,'Margini Clienti'!$A:$AG,17,FALSE)+VLOOKUP(A41,'Margini Clienti'!$A:$AG,18,FALSE)+VLOOKUP(A41,'Margini Clienti'!$A:$AG,19,FALSE),0)</x:f>
        <x:v>0</x:v>
      </x:c>
      <x:c r="I41" s="197"/>
      <x:c r="J41" s="197"/>
      <x:c r="K41" s="197"/>
      <x:c r="L41" s="197"/>
      <x:c r="M41" s="197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  <x:c r="AA41" s="39"/>
      <x:c r="AB41" s="39"/>
      <x:c r="AC41" s="39"/>
      <x:c r="AD41" s="39"/>
      <x:c r="AE41" s="39"/>
      <x:c r="AF41" s="39"/>
      <x:c r="AG41" s="39"/>
    </x:row>
    <x:row r="42">
      <x:c r="A42" s="197"/>
      <x:c r="B42" s="198" t="str">
        <x:f>IFERROR(VLOOKUP(A42,'Margini Clienti'!$A:$AG,6,FALSE),0)</x:f>
      </x:c>
      <x:c r="C42" s="198" t="str">
        <x:f>IFERROR(VLOOKUP(A42,'Margini Clienti'!$A:$AG,22,FALSE),0)</x:f>
      </x:c>
      <x:c r="D42" s="197"/>
      <x:c r="E42" s="198" t="n">
        <x:f>D42-B42</x:f>
        <x:v>0</x:v>
      </x:c>
      <x:c r="F42" s="198" t="str">
        <x:f>IFERROR(VLOOKUP(A42,'Margini Clienti'!$A:$AG,23,FALSE),0)</x:f>
      </x:c>
      <x:c r="G42" s="198" t="n">
        <x:f>F42+E42</x:f>
        <x:v>0</x:v>
      </x:c>
      <x:c r="H42" s="198" t="n">
        <x:f>IFERROR(VLOOKUP(A42,'Margini Clienti'!$A:$AG,17,FALSE)+VLOOKUP(A42,'Margini Clienti'!$A:$AG,18,FALSE)+VLOOKUP(A42,'Margini Clienti'!$A:$AG,19,FALSE),0)</x:f>
        <x:v>0</x:v>
      </x:c>
      <x:c r="I42" s="197"/>
      <x:c r="J42" s="197"/>
      <x:c r="K42" s="197"/>
      <x:c r="L42" s="197"/>
      <x:c r="M42" s="197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  <x:c r="AA42" s="39"/>
      <x:c r="AB42" s="39"/>
      <x:c r="AC42" s="39"/>
      <x:c r="AD42" s="39"/>
      <x:c r="AE42" s="39"/>
      <x:c r="AF42" s="39"/>
      <x:c r="AG42" s="39"/>
    </x:row>
    <x:row r="43">
      <x:c r="A43" s="197"/>
      <x:c r="B43" s="198" t="str">
        <x:f>IFERROR(VLOOKUP(A43,'Margini Clienti'!$A:$AG,6,FALSE),0)</x:f>
      </x:c>
      <x:c r="C43" s="198" t="str">
        <x:f>IFERROR(VLOOKUP(A43,'Margini Clienti'!$A:$AG,22,FALSE),0)</x:f>
      </x:c>
      <x:c r="D43" s="197"/>
      <x:c r="E43" s="198" t="n">
        <x:f>D43-B43</x:f>
        <x:v>0</x:v>
      </x:c>
      <x:c r="F43" s="198" t="str">
        <x:f>IFERROR(VLOOKUP(A43,'Margini Clienti'!$A:$AG,23,FALSE),0)</x:f>
      </x:c>
      <x:c r="G43" s="198" t="n">
        <x:f>F43+E43</x:f>
        <x:v>0</x:v>
      </x:c>
      <x:c r="H43" s="198" t="n">
        <x:f>IFERROR(VLOOKUP(A43,'Margini Clienti'!$A:$AG,17,FALSE)+VLOOKUP(A43,'Margini Clienti'!$A:$AG,18,FALSE)+VLOOKUP(A43,'Margini Clienti'!$A:$AG,19,FALSE),0)</x:f>
        <x:v>0</x:v>
      </x:c>
      <x:c r="I43" s="197"/>
      <x:c r="J43" s="197"/>
      <x:c r="K43" s="197"/>
      <x:c r="L43" s="197"/>
      <x:c r="M43" s="197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  <x:c r="AA43" s="39"/>
      <x:c r="AB43" s="39"/>
      <x:c r="AC43" s="39"/>
      <x:c r="AD43" s="39"/>
      <x:c r="AE43" s="39"/>
      <x:c r="AF43" s="39"/>
      <x:c r="AG43" s="39"/>
    </x:row>
    <x:row r="44">
      <x:c r="A44" s="197"/>
      <x:c r="B44" s="198" t="str">
        <x:f>IFERROR(VLOOKUP(A44,'Margini Clienti'!$A:$AG,6,FALSE),0)</x:f>
      </x:c>
      <x:c r="C44" s="198" t="str">
        <x:f>IFERROR(VLOOKUP(A44,'Margini Clienti'!$A:$AG,22,FALSE),0)</x:f>
      </x:c>
      <x:c r="D44" s="197"/>
      <x:c r="E44" s="198" t="n">
        <x:f>D44-B44</x:f>
        <x:v>0</x:v>
      </x:c>
      <x:c r="F44" s="198" t="str">
        <x:f>IFERROR(VLOOKUP(A44,'Margini Clienti'!$A:$AG,23,FALSE),0)</x:f>
      </x:c>
      <x:c r="G44" s="198" t="n">
        <x:f>F44+E44</x:f>
        <x:v>0</x:v>
      </x:c>
      <x:c r="H44" s="198" t="n">
        <x:f>IFERROR(VLOOKUP(A44,'Margini Clienti'!$A:$AG,17,FALSE)+VLOOKUP(A44,'Margini Clienti'!$A:$AG,18,FALSE)+VLOOKUP(A44,'Margini Clienti'!$A:$AG,19,FALSE),0)</x:f>
        <x:v>0</x:v>
      </x:c>
      <x:c r="I44" s="197"/>
      <x:c r="J44" s="197"/>
      <x:c r="K44" s="197"/>
      <x:c r="L44" s="197"/>
      <x:c r="M44" s="197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  <x:c r="AA44" s="39"/>
      <x:c r="AB44" s="39"/>
      <x:c r="AC44" s="39"/>
      <x:c r="AD44" s="39"/>
      <x:c r="AE44" s="39"/>
      <x:c r="AF44" s="39"/>
      <x:c r="AG44" s="39"/>
    </x:row>
    <x:row r="45">
      <x:c r="A45" s="197"/>
      <x:c r="B45" s="198" t="str">
        <x:f>IFERROR(VLOOKUP(A45,'Margini Clienti'!$A:$AG,6,FALSE),0)</x:f>
      </x:c>
      <x:c r="C45" s="198" t="str">
        <x:f>IFERROR(VLOOKUP(A45,'Margini Clienti'!$A:$AG,22,FALSE),0)</x:f>
      </x:c>
      <x:c r="D45" s="197"/>
      <x:c r="E45" s="198" t="n">
        <x:f>D45-B45</x:f>
        <x:v>0</x:v>
      </x:c>
      <x:c r="F45" s="198" t="str">
        <x:f>IFERROR(VLOOKUP(A45,'Margini Clienti'!$A:$AG,23,FALSE),0)</x:f>
      </x:c>
      <x:c r="G45" s="198" t="n">
        <x:f>F45+E45</x:f>
        <x:v>0</x:v>
      </x:c>
      <x:c r="H45" s="198" t="n">
        <x:f>IFERROR(VLOOKUP(A45,'Margini Clienti'!$A:$AG,17,FALSE)+VLOOKUP(A45,'Margini Clienti'!$A:$AG,18,FALSE)+VLOOKUP(A45,'Margini Clienti'!$A:$AG,19,FALSE),0)</x:f>
        <x:v>0</x:v>
      </x:c>
      <x:c r="I45" s="197"/>
      <x:c r="J45" s="197"/>
      <x:c r="K45" s="197"/>
      <x:c r="L45" s="197"/>
      <x:c r="M45" s="197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  <x:c r="AA45" s="39"/>
      <x:c r="AB45" s="39"/>
      <x:c r="AC45" s="39"/>
      <x:c r="AD45" s="39"/>
      <x:c r="AE45" s="39"/>
      <x:c r="AF45" s="39"/>
      <x:c r="AG45" s="39"/>
    </x:row>
    <x:row r="46">
      <x:c r="A46" s="197"/>
      <x:c r="B46" s="198" t="str">
        <x:f>IFERROR(VLOOKUP(A46,'Margini Clienti'!$A:$AG,6,FALSE),0)</x:f>
      </x:c>
      <x:c r="C46" s="198" t="str">
        <x:f>IFERROR(VLOOKUP(A46,'Margini Clienti'!$A:$AG,22,FALSE),0)</x:f>
      </x:c>
      <x:c r="D46" s="197"/>
      <x:c r="E46" s="198" t="n">
        <x:f>D46-B46</x:f>
        <x:v>0</x:v>
      </x:c>
      <x:c r="F46" s="198" t="str">
        <x:f>IFERROR(VLOOKUP(A46,'Margini Clienti'!$A:$AG,23,FALSE),0)</x:f>
      </x:c>
      <x:c r="G46" s="198" t="n">
        <x:f>F46+E46</x:f>
        <x:v>0</x:v>
      </x:c>
      <x:c r="H46" s="198" t="n">
        <x:f>IFERROR(VLOOKUP(A46,'Margini Clienti'!$A:$AG,17,FALSE)+VLOOKUP(A46,'Margini Clienti'!$A:$AG,18,FALSE)+VLOOKUP(A46,'Margini Clienti'!$A:$AG,19,FALSE),0)</x:f>
        <x:v>0</x:v>
      </x:c>
      <x:c r="I46" s="197"/>
      <x:c r="J46" s="197"/>
      <x:c r="K46" s="197"/>
      <x:c r="L46" s="197"/>
      <x:c r="M46" s="197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  <x:c r="AA46" s="39"/>
      <x:c r="AB46" s="39"/>
      <x:c r="AC46" s="39"/>
      <x:c r="AD46" s="39"/>
      <x:c r="AE46" s="39"/>
      <x:c r="AF46" s="39"/>
      <x:c r="AG46" s="39"/>
    </x:row>
    <x:row r="47">
      <x:c r="A47" s="197"/>
      <x:c r="B47" s="198" t="str">
        <x:f>IFERROR(VLOOKUP(A47,'Margini Clienti'!$A:$AG,6,FALSE),0)</x:f>
      </x:c>
      <x:c r="C47" s="198" t="str">
        <x:f>IFERROR(VLOOKUP(A47,'Margini Clienti'!$A:$AG,22,FALSE),0)</x:f>
      </x:c>
      <x:c r="D47" s="197"/>
      <x:c r="E47" s="198" t="n">
        <x:f>D47-B47</x:f>
        <x:v>0</x:v>
      </x:c>
      <x:c r="F47" s="198" t="str">
        <x:f>IFERROR(VLOOKUP(A47,'Margini Clienti'!$A:$AG,23,FALSE),0)</x:f>
      </x:c>
      <x:c r="G47" s="198" t="n">
        <x:f>F47+E47</x:f>
        <x:v>0</x:v>
      </x:c>
      <x:c r="H47" s="198" t="n">
        <x:f>IFERROR(VLOOKUP(A47,'Margini Clienti'!$A:$AG,17,FALSE)+VLOOKUP(A47,'Margini Clienti'!$A:$AG,18,FALSE)+VLOOKUP(A47,'Margini Clienti'!$A:$AG,19,FALSE),0)</x:f>
        <x:v>0</x:v>
      </x:c>
      <x:c r="I47" s="197"/>
      <x:c r="J47" s="197"/>
      <x:c r="K47" s="197"/>
      <x:c r="L47" s="197"/>
      <x:c r="M47" s="197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  <x:c r="AA47" s="39"/>
      <x:c r="AB47" s="39"/>
      <x:c r="AC47" s="39"/>
      <x:c r="AD47" s="39"/>
      <x:c r="AE47" s="39"/>
      <x:c r="AF47" s="39"/>
      <x:c r="AG47" s="39"/>
    </x:row>
    <x:row r="48">
      <x:c r="A48" s="197"/>
      <x:c r="B48" s="198" t="str">
        <x:f>IFERROR(VLOOKUP(A48,'Margini Clienti'!$A:$AG,6,FALSE),0)</x:f>
      </x:c>
      <x:c r="C48" s="198" t="str">
        <x:f>IFERROR(VLOOKUP(A48,'Margini Clienti'!$A:$AG,22,FALSE),0)</x:f>
      </x:c>
      <x:c r="D48" s="197"/>
      <x:c r="E48" s="198" t="n">
        <x:f>D48-B48</x:f>
        <x:v>0</x:v>
      </x:c>
      <x:c r="F48" s="198" t="str">
        <x:f>IFERROR(VLOOKUP(A48,'Margini Clienti'!$A:$AG,23,FALSE),0)</x:f>
      </x:c>
      <x:c r="G48" s="198" t="n">
        <x:f>F48+E48</x:f>
        <x:v>0</x:v>
      </x:c>
      <x:c r="H48" s="198" t="n">
        <x:f>IFERROR(VLOOKUP(A48,'Margini Clienti'!$A:$AG,17,FALSE)+VLOOKUP(A48,'Margini Clienti'!$A:$AG,18,FALSE)+VLOOKUP(A48,'Margini Clienti'!$A:$AG,19,FALSE),0)</x:f>
        <x:v>0</x:v>
      </x:c>
      <x:c r="I48" s="197"/>
      <x:c r="J48" s="197"/>
      <x:c r="K48" s="197"/>
      <x:c r="L48" s="197"/>
      <x:c r="M48" s="197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  <x:c r="AA48" s="39"/>
      <x:c r="AB48" s="39"/>
      <x:c r="AC48" s="39"/>
      <x:c r="AD48" s="39"/>
      <x:c r="AE48" s="39"/>
      <x:c r="AF48" s="39"/>
      <x:c r="AG48" s="39"/>
    </x:row>
    <x:row r="49">
      <x:c r="A49" s="197"/>
      <x:c r="B49" s="198" t="str">
        <x:f>IFERROR(VLOOKUP(A49,'Margini Clienti'!$A:$AG,6,FALSE),0)</x:f>
      </x:c>
      <x:c r="C49" s="198" t="str">
        <x:f>IFERROR(VLOOKUP(A49,'Margini Clienti'!$A:$AG,22,FALSE),0)</x:f>
      </x:c>
      <x:c r="D49" s="197"/>
      <x:c r="E49" s="198" t="n">
        <x:f>D49-B49</x:f>
        <x:v>0</x:v>
      </x:c>
      <x:c r="F49" s="198" t="str">
        <x:f>IFERROR(VLOOKUP(A49,'Margini Clienti'!$A:$AG,23,FALSE),0)</x:f>
      </x:c>
      <x:c r="G49" s="198" t="n">
        <x:f>F49+E49</x:f>
        <x:v>0</x:v>
      </x:c>
      <x:c r="H49" s="198" t="n">
        <x:f>IFERROR(VLOOKUP(A49,'Margini Clienti'!$A:$AG,17,FALSE)+VLOOKUP(A49,'Margini Clienti'!$A:$AG,18,FALSE)+VLOOKUP(A49,'Margini Clienti'!$A:$AG,19,FALSE),0)</x:f>
        <x:v>0</x:v>
      </x:c>
      <x:c r="I49" s="197"/>
      <x:c r="J49" s="197"/>
      <x:c r="K49" s="197"/>
      <x:c r="L49" s="197"/>
      <x:c r="M49" s="197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  <x:c r="AA49" s="39"/>
      <x:c r="AB49" s="39"/>
      <x:c r="AC49" s="39"/>
      <x:c r="AD49" s="39"/>
      <x:c r="AE49" s="39"/>
      <x:c r="AF49" s="39"/>
      <x:c r="AG49" s="39"/>
    </x:row>
    <x:row r="50">
      <x:c r="A50" s="197"/>
      <x:c r="B50" s="198" t="str">
        <x:f>IFERROR(VLOOKUP(A50,'Margini Clienti'!$A:$AG,6,FALSE),0)</x:f>
      </x:c>
      <x:c r="C50" s="198" t="str">
        <x:f>IFERROR(VLOOKUP(A50,'Margini Clienti'!$A:$AG,22,FALSE),0)</x:f>
      </x:c>
      <x:c r="D50" s="197"/>
      <x:c r="E50" s="198" t="n">
        <x:f>D50-B50</x:f>
        <x:v>0</x:v>
      </x:c>
      <x:c r="F50" s="198" t="str">
        <x:f>IFERROR(VLOOKUP(A50,'Margini Clienti'!$A:$AG,23,FALSE),0)</x:f>
      </x:c>
      <x:c r="G50" s="198" t="n">
        <x:f>F50+E50</x:f>
        <x:v>0</x:v>
      </x:c>
      <x:c r="H50" s="198" t="n">
        <x:f>IFERROR(VLOOKUP(A50,'Margini Clienti'!$A:$AG,17,FALSE)+VLOOKUP(A50,'Margini Clienti'!$A:$AG,18,FALSE)+VLOOKUP(A50,'Margini Clienti'!$A:$AG,19,FALSE),0)</x:f>
        <x:v>0</x:v>
      </x:c>
      <x:c r="I50" s="197"/>
      <x:c r="J50" s="197"/>
      <x:c r="K50" s="197"/>
      <x:c r="L50" s="197"/>
      <x:c r="M50" s="197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  <x:c r="AA50" s="39"/>
      <x:c r="AB50" s="39"/>
      <x:c r="AC50" s="39"/>
      <x:c r="AD50" s="39"/>
      <x:c r="AE50" s="39"/>
      <x:c r="AF50" s="39"/>
      <x:c r="AG50" s="39"/>
    </x:row>
    <x:row r="51">
      <x:c r="A51" s="197"/>
      <x:c r="B51" s="198" t="str">
        <x:f>IFERROR(VLOOKUP(A51,'Margini Clienti'!$A:$AG,6,FALSE),0)</x:f>
      </x:c>
      <x:c r="C51" s="198" t="str">
        <x:f>IFERROR(VLOOKUP(A51,'Margini Clienti'!$A:$AG,22,FALSE),0)</x:f>
      </x:c>
      <x:c r="D51" s="197"/>
      <x:c r="E51" s="198" t="n">
        <x:f>D51-B51</x:f>
        <x:v>0</x:v>
      </x:c>
      <x:c r="F51" s="198" t="str">
        <x:f>IFERROR(VLOOKUP(A51,'Margini Clienti'!$A:$AG,23,FALSE),0)</x:f>
      </x:c>
      <x:c r="G51" s="198" t="n">
        <x:f>F51+E51</x:f>
        <x:v>0</x:v>
      </x:c>
      <x:c r="H51" s="198" t="n">
        <x:f>IFERROR(VLOOKUP(A51,'Margini Clienti'!$A:$AG,17,FALSE)+VLOOKUP(A51,'Margini Clienti'!$A:$AG,18,FALSE)+VLOOKUP(A51,'Margini Clienti'!$A:$AG,19,FALSE),0)</x:f>
        <x:v>0</x:v>
      </x:c>
      <x:c r="I51" s="197"/>
      <x:c r="J51" s="197"/>
      <x:c r="K51" s="197"/>
      <x:c r="L51" s="197"/>
      <x:c r="M51" s="197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  <x:c r="AA51" s="39"/>
      <x:c r="AB51" s="39"/>
      <x:c r="AC51" s="39"/>
      <x:c r="AD51" s="39"/>
      <x:c r="AE51" s="39"/>
      <x:c r="AF51" s="39"/>
      <x:c r="AG51" s="39"/>
    </x:row>
    <x:row r="52">
      <x:c r="A52" s="197"/>
      <x:c r="B52" s="198" t="str">
        <x:f>IFERROR(VLOOKUP(A52,'Margini Clienti'!$A:$AG,6,FALSE),0)</x:f>
      </x:c>
      <x:c r="C52" s="198" t="str">
        <x:f>IFERROR(VLOOKUP(A52,'Margini Clienti'!$A:$AG,22,FALSE),0)</x:f>
      </x:c>
      <x:c r="D52" s="197"/>
      <x:c r="E52" s="198" t="n">
        <x:f>D52-B52</x:f>
        <x:v>0</x:v>
      </x:c>
      <x:c r="F52" s="198" t="str">
        <x:f>IFERROR(VLOOKUP(A52,'Margini Clienti'!$A:$AG,23,FALSE),0)</x:f>
      </x:c>
      <x:c r="G52" s="198" t="n">
        <x:f>F52+E52</x:f>
        <x:v>0</x:v>
      </x:c>
      <x:c r="H52" s="198" t="n">
        <x:f>IFERROR(VLOOKUP(A52,'Margini Clienti'!$A:$AG,17,FALSE)+VLOOKUP(A52,'Margini Clienti'!$A:$AG,18,FALSE)+VLOOKUP(A52,'Margini Clienti'!$A:$AG,19,FALSE),0)</x:f>
        <x:v>0</x:v>
      </x:c>
      <x:c r="I52" s="197"/>
      <x:c r="J52" s="197"/>
      <x:c r="K52" s="197"/>
      <x:c r="L52" s="197"/>
      <x:c r="M52" s="197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  <x:c r="AA52" s="39"/>
      <x:c r="AB52" s="39"/>
      <x:c r="AC52" s="39"/>
      <x:c r="AD52" s="39"/>
      <x:c r="AE52" s="39"/>
      <x:c r="AF52" s="39"/>
      <x:c r="AG52" s="39"/>
    </x:row>
    <x:row r="53">
      <x:c r="A53" s="197"/>
      <x:c r="B53" s="198" t="str">
        <x:f>IFERROR(VLOOKUP(A53,'Margini Clienti'!$A:$AG,6,FALSE),0)</x:f>
      </x:c>
      <x:c r="C53" s="198" t="str">
        <x:f>IFERROR(VLOOKUP(A53,'Margini Clienti'!$A:$AG,22,FALSE),0)</x:f>
      </x:c>
      <x:c r="D53" s="197"/>
      <x:c r="E53" s="198" t="n">
        <x:f>D53-B53</x:f>
        <x:v>0</x:v>
      </x:c>
      <x:c r="F53" s="198" t="str">
        <x:f>IFERROR(VLOOKUP(A53,'Margini Clienti'!$A:$AG,23,FALSE),0)</x:f>
      </x:c>
      <x:c r="G53" s="198" t="n">
        <x:f>F53+E53</x:f>
        <x:v>0</x:v>
      </x:c>
      <x:c r="H53" s="198" t="n">
        <x:f>IFERROR(VLOOKUP(A53,'Margini Clienti'!$A:$AG,17,FALSE)+VLOOKUP(A53,'Margini Clienti'!$A:$AG,18,FALSE)+VLOOKUP(A53,'Margini Clienti'!$A:$AG,19,FALSE),0)</x:f>
        <x:v>0</x:v>
      </x:c>
      <x:c r="I53" s="197"/>
      <x:c r="J53" s="197"/>
      <x:c r="K53" s="197"/>
      <x:c r="L53" s="197"/>
      <x:c r="M53" s="197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  <x:c r="AA53" s="39"/>
      <x:c r="AB53" s="39"/>
      <x:c r="AC53" s="39"/>
      <x:c r="AD53" s="39"/>
      <x:c r="AE53" s="39"/>
      <x:c r="AF53" s="39"/>
      <x:c r="AG53" s="39"/>
    </x:row>
    <x:row r="54">
      <x:c r="A54" s="197"/>
      <x:c r="B54" s="198" t="str">
        <x:f>IFERROR(VLOOKUP(A54,'Margini Clienti'!$A:$AG,6,FALSE),0)</x:f>
      </x:c>
      <x:c r="C54" s="198" t="str">
        <x:f>IFERROR(VLOOKUP(A54,'Margini Clienti'!$A:$AG,22,FALSE),0)</x:f>
      </x:c>
      <x:c r="D54" s="197"/>
      <x:c r="E54" s="198" t="n">
        <x:f>D54-B54</x:f>
        <x:v>0</x:v>
      </x:c>
      <x:c r="F54" s="198" t="str">
        <x:f>IFERROR(VLOOKUP(A54,'Margini Clienti'!$A:$AG,23,FALSE),0)</x:f>
      </x:c>
      <x:c r="G54" s="198" t="n">
        <x:f>F54+E54</x:f>
        <x:v>0</x:v>
      </x:c>
      <x:c r="H54" s="198" t="n">
        <x:f>IFERROR(VLOOKUP(A54,'Margini Clienti'!$A:$AG,17,FALSE)+VLOOKUP(A54,'Margini Clienti'!$A:$AG,18,FALSE)+VLOOKUP(A54,'Margini Clienti'!$A:$AG,19,FALSE),0)</x:f>
        <x:v>0</x:v>
      </x:c>
      <x:c r="I54" s="197"/>
      <x:c r="J54" s="197"/>
      <x:c r="K54" s="197"/>
      <x:c r="L54" s="197"/>
      <x:c r="M54" s="197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  <x:c r="AA54" s="39"/>
      <x:c r="AB54" s="39"/>
      <x:c r="AC54" s="39"/>
      <x:c r="AD54" s="39"/>
      <x:c r="AE54" s="39"/>
      <x:c r="AF54" s="39"/>
      <x:c r="AG54" s="39"/>
    </x:row>
    <x:row r="55">
      <x:c r="A55" s="197"/>
      <x:c r="B55" s="198" t="str">
        <x:f>IFERROR(VLOOKUP(A55,'Margini Clienti'!$A:$AG,6,FALSE),0)</x:f>
      </x:c>
      <x:c r="C55" s="198" t="str">
        <x:f>IFERROR(VLOOKUP(A55,'Margini Clienti'!$A:$AG,22,FALSE),0)</x:f>
      </x:c>
      <x:c r="D55" s="197"/>
      <x:c r="E55" s="198" t="n">
        <x:f>D55-B55</x:f>
        <x:v>0</x:v>
      </x:c>
      <x:c r="F55" s="198" t="str">
        <x:f>IFERROR(VLOOKUP(A55,'Margini Clienti'!$A:$AG,23,FALSE),0)</x:f>
      </x:c>
      <x:c r="G55" s="198" t="n">
        <x:f>F55+E55</x:f>
        <x:v>0</x:v>
      </x:c>
      <x:c r="H55" s="198" t="n">
        <x:f>IFERROR(VLOOKUP(A55,'Margini Clienti'!$A:$AG,17,FALSE)+VLOOKUP(A55,'Margini Clienti'!$A:$AG,18,FALSE)+VLOOKUP(A55,'Margini Clienti'!$A:$AG,19,FALSE),0)</x:f>
        <x:v>0</x:v>
      </x:c>
      <x:c r="I55" s="197"/>
      <x:c r="J55" s="197"/>
      <x:c r="K55" s="197"/>
      <x:c r="L55" s="197"/>
      <x:c r="M55" s="197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  <x:c r="AA55" s="39"/>
      <x:c r="AB55" s="39"/>
      <x:c r="AC55" s="39"/>
      <x:c r="AD55" s="39"/>
      <x:c r="AE55" s="39"/>
      <x:c r="AF55" s="39"/>
      <x:c r="AG55" s="39"/>
    </x:row>
    <x:row r="56">
      <x:c r="A56" s="197"/>
      <x:c r="B56" s="198" t="str">
        <x:f>IFERROR(VLOOKUP(A56,'Margini Clienti'!$A:$AG,6,FALSE),0)</x:f>
      </x:c>
      <x:c r="C56" s="198" t="str">
        <x:f>IFERROR(VLOOKUP(A56,'Margini Clienti'!$A:$AG,22,FALSE),0)</x:f>
      </x:c>
      <x:c r="D56" s="197"/>
      <x:c r="E56" s="198" t="n">
        <x:f>D56-B56</x:f>
        <x:v>0</x:v>
      </x:c>
      <x:c r="F56" s="198" t="str">
        <x:f>IFERROR(VLOOKUP(A56,'Margini Clienti'!$A:$AG,23,FALSE),0)</x:f>
      </x:c>
      <x:c r="G56" s="198" t="n">
        <x:f>F56+E56</x:f>
        <x:v>0</x:v>
      </x:c>
      <x:c r="H56" s="198" t="n">
        <x:f>IFERROR(VLOOKUP(A56,'Margini Clienti'!$A:$AG,17,FALSE)+VLOOKUP(A56,'Margini Clienti'!$A:$AG,18,FALSE)+VLOOKUP(A56,'Margini Clienti'!$A:$AG,19,FALSE),0)</x:f>
        <x:v>0</x:v>
      </x:c>
      <x:c r="I56" s="197"/>
      <x:c r="J56" s="197"/>
      <x:c r="K56" s="197"/>
      <x:c r="L56" s="197"/>
      <x:c r="M56" s="197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  <x:c r="AA56" s="39"/>
      <x:c r="AB56" s="39"/>
      <x:c r="AC56" s="39"/>
      <x:c r="AD56" s="39"/>
      <x:c r="AE56" s="39"/>
      <x:c r="AF56" s="39"/>
      <x:c r="AG56" s="39"/>
    </x:row>
    <x:row r="57">
      <x:c r="A57" s="197"/>
      <x:c r="B57" s="198" t="str">
        <x:f>IFERROR(VLOOKUP(A57,'Margini Clienti'!$A:$AG,6,FALSE),0)</x:f>
      </x:c>
      <x:c r="C57" s="198" t="str">
        <x:f>IFERROR(VLOOKUP(A57,'Margini Clienti'!$A:$AG,22,FALSE),0)</x:f>
      </x:c>
      <x:c r="D57" s="197"/>
      <x:c r="E57" s="198" t="n">
        <x:f>D57-B57</x:f>
        <x:v>0</x:v>
      </x:c>
      <x:c r="F57" s="198" t="str">
        <x:f>IFERROR(VLOOKUP(A57,'Margini Clienti'!$A:$AG,23,FALSE),0)</x:f>
      </x:c>
      <x:c r="G57" s="198" t="n">
        <x:f>F57+E57</x:f>
        <x:v>0</x:v>
      </x:c>
      <x:c r="H57" s="198" t="n">
        <x:f>IFERROR(VLOOKUP(A57,'Margini Clienti'!$A:$AG,17,FALSE)+VLOOKUP(A57,'Margini Clienti'!$A:$AG,18,FALSE)+VLOOKUP(A57,'Margini Clienti'!$A:$AG,19,FALSE),0)</x:f>
        <x:v>0</x:v>
      </x:c>
      <x:c r="I57" s="197"/>
      <x:c r="J57" s="197"/>
      <x:c r="K57" s="197"/>
      <x:c r="L57" s="197"/>
      <x:c r="M57" s="197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  <x:c r="AA57" s="39"/>
      <x:c r="AB57" s="39"/>
      <x:c r="AC57" s="39"/>
      <x:c r="AD57" s="39"/>
      <x:c r="AE57" s="39"/>
      <x:c r="AF57" s="39"/>
      <x:c r="AG57" s="39"/>
    </x:row>
    <x:row r="58">
      <x:c r="A58" s="197"/>
      <x:c r="B58" s="198" t="str">
        <x:f>IFERROR(VLOOKUP(A58,'Margini Clienti'!$A:$AG,6,FALSE),0)</x:f>
      </x:c>
      <x:c r="C58" s="198" t="str">
        <x:f>IFERROR(VLOOKUP(A58,'Margini Clienti'!$A:$AG,22,FALSE),0)</x:f>
      </x:c>
      <x:c r="D58" s="197"/>
      <x:c r="E58" s="198" t="n">
        <x:f>D58-B58</x:f>
        <x:v>0</x:v>
      </x:c>
      <x:c r="F58" s="198" t="str">
        <x:f>IFERROR(VLOOKUP(A58,'Margini Clienti'!$A:$AG,23,FALSE),0)</x:f>
      </x:c>
      <x:c r="G58" s="198" t="n">
        <x:f>F58+E58</x:f>
        <x:v>0</x:v>
      </x:c>
      <x:c r="H58" s="198" t="n">
        <x:f>IFERROR(VLOOKUP(A58,'Margini Clienti'!$A:$AG,17,FALSE)+VLOOKUP(A58,'Margini Clienti'!$A:$AG,18,FALSE)+VLOOKUP(A58,'Margini Clienti'!$A:$AG,19,FALSE),0)</x:f>
        <x:v>0</x:v>
      </x:c>
      <x:c r="I58" s="197"/>
      <x:c r="J58" s="197"/>
      <x:c r="K58" s="197"/>
      <x:c r="L58" s="197"/>
      <x:c r="M58" s="197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39"/>
      <x:c r="AE58" s="39"/>
      <x:c r="AF58" s="39"/>
      <x:c r="AG58" s="39"/>
    </x:row>
    <x:row r="59">
      <x:c r="A59" s="197"/>
      <x:c r="B59" s="198" t="str">
        <x:f>IFERROR(VLOOKUP(A59,'Margini Clienti'!$A:$AG,6,FALSE),0)</x:f>
      </x:c>
      <x:c r="C59" s="198" t="str">
        <x:f>IFERROR(VLOOKUP(A59,'Margini Clienti'!$A:$AG,22,FALSE),0)</x:f>
      </x:c>
      <x:c r="D59" s="197"/>
      <x:c r="E59" s="198" t="n">
        <x:f>D59-B59</x:f>
        <x:v>0</x:v>
      </x:c>
      <x:c r="F59" s="198" t="str">
        <x:f>IFERROR(VLOOKUP(A59,'Margini Clienti'!$A:$AG,23,FALSE),0)</x:f>
      </x:c>
      <x:c r="G59" s="198" t="n">
        <x:f>F59+E59</x:f>
        <x:v>0</x:v>
      </x:c>
      <x:c r="H59" s="198" t="n">
        <x:f>IFERROR(VLOOKUP(A59,'Margini Clienti'!$A:$AG,17,FALSE)+VLOOKUP(A59,'Margini Clienti'!$A:$AG,18,FALSE)+VLOOKUP(A59,'Margini Clienti'!$A:$AG,19,FALSE),0)</x:f>
        <x:v>0</x:v>
      </x:c>
      <x:c r="I59" s="197"/>
      <x:c r="J59" s="197"/>
      <x:c r="K59" s="197"/>
      <x:c r="L59" s="197"/>
      <x:c r="M59" s="197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  <x:c r="AA59" s="39"/>
      <x:c r="AB59" s="39"/>
      <x:c r="AC59" s="39"/>
      <x:c r="AD59" s="39"/>
      <x:c r="AE59" s="39"/>
      <x:c r="AF59" s="39"/>
      <x:c r="AG59" s="39"/>
    </x:row>
    <x:row r="60">
      <x:c r="A60" s="197"/>
      <x:c r="B60" s="198" t="str">
        <x:f>IFERROR(VLOOKUP(A60,'Margini Clienti'!$A:$AG,6,FALSE),0)</x:f>
      </x:c>
      <x:c r="C60" s="198" t="str">
        <x:f>IFERROR(VLOOKUP(A60,'Margini Clienti'!$A:$AG,22,FALSE),0)</x:f>
      </x:c>
      <x:c r="D60" s="197"/>
      <x:c r="E60" s="198" t="n">
        <x:f>D60-B60</x:f>
        <x:v>0</x:v>
      </x:c>
      <x:c r="F60" s="198" t="str">
        <x:f>IFERROR(VLOOKUP(A60,'Margini Clienti'!$A:$AG,23,FALSE),0)</x:f>
      </x:c>
      <x:c r="G60" s="198" t="n">
        <x:f>F60+E60</x:f>
        <x:v>0</x:v>
      </x:c>
      <x:c r="H60" s="198" t="n">
        <x:f>IFERROR(VLOOKUP(A60,'Margini Clienti'!$A:$AG,17,FALSE)+VLOOKUP(A60,'Margini Clienti'!$A:$AG,18,FALSE)+VLOOKUP(A60,'Margini Clienti'!$A:$AG,19,FALSE),0)</x:f>
        <x:v>0</x:v>
      </x:c>
      <x:c r="I60" s="197"/>
      <x:c r="J60" s="197"/>
      <x:c r="K60" s="197"/>
      <x:c r="L60" s="197"/>
      <x:c r="M60" s="197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  <x:c r="AA60" s="39"/>
      <x:c r="AB60" s="39"/>
      <x:c r="AC60" s="39"/>
      <x:c r="AD60" s="39"/>
      <x:c r="AE60" s="39"/>
      <x:c r="AF60" s="39"/>
      <x:c r="AG60" s="39"/>
    </x:row>
    <x:row r="61">
      <x:c r="A61" s="197"/>
      <x:c r="B61" s="198" t="str">
        <x:f>IFERROR(VLOOKUP(A61,'Margini Clienti'!$A:$AG,6,FALSE),0)</x:f>
      </x:c>
      <x:c r="C61" s="198" t="str">
        <x:f>IFERROR(VLOOKUP(A61,'Margini Clienti'!$A:$AG,22,FALSE),0)</x:f>
      </x:c>
      <x:c r="D61" s="197"/>
      <x:c r="E61" s="198" t="n">
        <x:f>D61-B61</x:f>
        <x:v>0</x:v>
      </x:c>
      <x:c r="F61" s="198" t="str">
        <x:f>IFERROR(VLOOKUP(A61,'Margini Clienti'!$A:$AG,23,FALSE),0)</x:f>
      </x:c>
      <x:c r="G61" s="198" t="n">
        <x:f>F61+E61</x:f>
        <x:v>0</x:v>
      </x:c>
      <x:c r="H61" s="198" t="n">
        <x:f>IFERROR(VLOOKUP(A61,'Margini Clienti'!$A:$AG,17,FALSE)+VLOOKUP(A61,'Margini Clienti'!$A:$AG,18,FALSE)+VLOOKUP(A61,'Margini Clienti'!$A:$AG,19,FALSE),0)</x:f>
        <x:v>0</x:v>
      </x:c>
      <x:c r="I61" s="197"/>
      <x:c r="J61" s="197"/>
      <x:c r="K61" s="197"/>
      <x:c r="L61" s="197"/>
      <x:c r="M61" s="197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  <x:c r="AA61" s="39"/>
      <x:c r="AB61" s="39"/>
      <x:c r="AC61" s="39"/>
      <x:c r="AD61" s="39"/>
      <x:c r="AE61" s="39"/>
      <x:c r="AF61" s="39"/>
      <x:c r="AG61" s="39"/>
    </x:row>
    <x:row r="62">
      <x:c r="A62" s="197"/>
      <x:c r="B62" s="198" t="str">
        <x:f>IFERROR(VLOOKUP(A62,'Margini Clienti'!$A:$AG,6,FALSE),0)</x:f>
      </x:c>
      <x:c r="C62" s="198" t="str">
        <x:f>IFERROR(VLOOKUP(A62,'Margini Clienti'!$A:$AG,22,FALSE),0)</x:f>
      </x:c>
      <x:c r="D62" s="197"/>
      <x:c r="E62" s="198" t="n">
        <x:f>D62-B62</x:f>
        <x:v>0</x:v>
      </x:c>
      <x:c r="F62" s="198" t="str">
        <x:f>IFERROR(VLOOKUP(A62,'Margini Clienti'!$A:$AG,23,FALSE),0)</x:f>
      </x:c>
      <x:c r="G62" s="198" t="n">
        <x:f>F62+E62</x:f>
        <x:v>0</x:v>
      </x:c>
      <x:c r="H62" s="198" t="n">
        <x:f>IFERROR(VLOOKUP(A62,'Margini Clienti'!$A:$AG,17,FALSE)+VLOOKUP(A62,'Margini Clienti'!$A:$AG,18,FALSE)+VLOOKUP(A62,'Margini Clienti'!$A:$AG,19,FALSE),0)</x:f>
        <x:v>0</x:v>
      </x:c>
      <x:c r="I62" s="197"/>
      <x:c r="J62" s="197"/>
      <x:c r="K62" s="197"/>
      <x:c r="L62" s="197"/>
      <x:c r="M62" s="197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  <x:c r="AA62" s="39"/>
      <x:c r="AB62" s="39"/>
      <x:c r="AC62" s="39"/>
      <x:c r="AD62" s="39"/>
      <x:c r="AE62" s="39"/>
      <x:c r="AF62" s="39"/>
      <x:c r="AG62" s="39"/>
    </x:row>
    <x:row r="63">
      <x:c r="A63" s="197"/>
      <x:c r="B63" s="198" t="str">
        <x:f>IFERROR(VLOOKUP(A63,'Margini Clienti'!$A:$AG,6,FALSE),0)</x:f>
      </x:c>
      <x:c r="C63" s="198" t="str">
        <x:f>IFERROR(VLOOKUP(A63,'Margini Clienti'!$A:$AG,22,FALSE),0)</x:f>
      </x:c>
      <x:c r="D63" s="197"/>
      <x:c r="E63" s="198" t="n">
        <x:f>D63-B63</x:f>
        <x:v>0</x:v>
      </x:c>
      <x:c r="F63" s="198" t="str">
        <x:f>IFERROR(VLOOKUP(A63,'Margini Clienti'!$A:$AG,23,FALSE),0)</x:f>
      </x:c>
      <x:c r="G63" s="198" t="n">
        <x:f>F63+E63</x:f>
        <x:v>0</x:v>
      </x:c>
      <x:c r="H63" s="198" t="n">
        <x:f>IFERROR(VLOOKUP(A63,'Margini Clienti'!$A:$AG,17,FALSE)+VLOOKUP(A63,'Margini Clienti'!$A:$AG,18,FALSE)+VLOOKUP(A63,'Margini Clienti'!$A:$AG,19,FALSE),0)</x:f>
        <x:v>0</x:v>
      </x:c>
      <x:c r="I63" s="197"/>
      <x:c r="J63" s="197"/>
      <x:c r="K63" s="197"/>
      <x:c r="L63" s="197"/>
      <x:c r="M63" s="197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  <x:c r="AA63" s="39"/>
      <x:c r="AB63" s="39"/>
      <x:c r="AC63" s="39"/>
      <x:c r="AD63" s="39"/>
      <x:c r="AE63" s="39"/>
      <x:c r="AF63" s="39"/>
      <x:c r="AG63" s="39"/>
    </x:row>
    <x:row r="64">
      <x:c r="A64" s="197"/>
      <x:c r="B64" s="198" t="str">
        <x:f>IFERROR(VLOOKUP(A64,'Margini Clienti'!$A:$AG,6,FALSE),0)</x:f>
      </x:c>
      <x:c r="C64" s="198" t="str">
        <x:f>IFERROR(VLOOKUP(A64,'Margini Clienti'!$A:$AG,22,FALSE),0)</x:f>
      </x:c>
      <x:c r="D64" s="197"/>
      <x:c r="E64" s="198" t="n">
        <x:f>D64-B64</x:f>
        <x:v>0</x:v>
      </x:c>
      <x:c r="F64" s="198" t="str">
        <x:f>IFERROR(VLOOKUP(A64,'Margini Clienti'!$A:$AG,23,FALSE),0)</x:f>
      </x:c>
      <x:c r="G64" s="198" t="n">
        <x:f>F64+E64</x:f>
        <x:v>0</x:v>
      </x:c>
      <x:c r="H64" s="198" t="n">
        <x:f>IFERROR(VLOOKUP(A64,'Margini Clienti'!$A:$AG,17,FALSE)+VLOOKUP(A64,'Margini Clienti'!$A:$AG,18,FALSE)+VLOOKUP(A64,'Margini Clienti'!$A:$AG,19,FALSE),0)</x:f>
        <x:v>0</x:v>
      </x:c>
      <x:c r="I64" s="197"/>
      <x:c r="J64" s="197"/>
      <x:c r="K64" s="197"/>
      <x:c r="L64" s="197"/>
      <x:c r="M64" s="197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  <x:c r="AA64" s="39"/>
      <x:c r="AB64" s="39"/>
      <x:c r="AC64" s="39"/>
      <x:c r="AD64" s="39"/>
      <x:c r="AE64" s="39"/>
      <x:c r="AF64" s="39"/>
      <x:c r="AG64" s="39"/>
    </x:row>
    <x:row r="65">
      <x:c r="A65" s="197"/>
      <x:c r="B65" s="198" t="str">
        <x:f>IFERROR(VLOOKUP(A65,'Margini Clienti'!$A:$AG,6,FALSE),0)</x:f>
      </x:c>
      <x:c r="C65" s="198" t="str">
        <x:f>IFERROR(VLOOKUP(A65,'Margini Clienti'!$A:$AG,22,FALSE),0)</x:f>
      </x:c>
      <x:c r="D65" s="197"/>
      <x:c r="E65" s="198" t="n">
        <x:f>D65-B65</x:f>
        <x:v>0</x:v>
      </x:c>
      <x:c r="F65" s="198" t="str">
        <x:f>IFERROR(VLOOKUP(A65,'Margini Clienti'!$A:$AG,23,FALSE),0)</x:f>
      </x:c>
      <x:c r="G65" s="198" t="n">
        <x:f>F65+E65</x:f>
        <x:v>0</x:v>
      </x:c>
      <x:c r="H65" s="198" t="n">
        <x:f>IFERROR(VLOOKUP(A65,'Margini Clienti'!$A:$AG,17,FALSE)+VLOOKUP(A65,'Margini Clienti'!$A:$AG,18,FALSE)+VLOOKUP(A65,'Margini Clienti'!$A:$AG,19,FALSE),0)</x:f>
        <x:v>0</x:v>
      </x:c>
      <x:c r="I65" s="197"/>
      <x:c r="J65" s="197"/>
      <x:c r="K65" s="197"/>
      <x:c r="L65" s="197"/>
      <x:c r="M65" s="197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  <x:c r="AA65" s="39"/>
      <x:c r="AB65" s="39"/>
      <x:c r="AC65" s="39"/>
      <x:c r="AD65" s="39"/>
      <x:c r="AE65" s="39"/>
      <x:c r="AF65" s="39"/>
      <x:c r="AG65" s="39"/>
    </x:row>
    <x:row r="66">
      <x:c r="A66" s="197"/>
      <x:c r="B66" s="198" t="str">
        <x:f>IFERROR(VLOOKUP(A66,'Margini Clienti'!$A:$AG,6,FALSE),0)</x:f>
      </x:c>
      <x:c r="C66" s="198" t="str">
        <x:f>IFERROR(VLOOKUP(A66,'Margini Clienti'!$A:$AG,22,FALSE),0)</x:f>
      </x:c>
      <x:c r="D66" s="197"/>
      <x:c r="E66" s="198" t="n">
        <x:f>D66-B66</x:f>
        <x:v>0</x:v>
      </x:c>
      <x:c r="F66" s="198" t="str">
        <x:f>IFERROR(VLOOKUP(A66,'Margini Clienti'!$A:$AG,23,FALSE),0)</x:f>
      </x:c>
      <x:c r="G66" s="198" t="n">
        <x:f>F66+E66</x:f>
        <x:v>0</x:v>
      </x:c>
      <x:c r="H66" s="198" t="n">
        <x:f>IFERROR(VLOOKUP(A66,'Margini Clienti'!$A:$AG,17,FALSE)+VLOOKUP(A66,'Margini Clienti'!$A:$AG,18,FALSE)+VLOOKUP(A66,'Margini Clienti'!$A:$AG,19,FALSE),0)</x:f>
        <x:v>0</x:v>
      </x:c>
      <x:c r="I66" s="197"/>
      <x:c r="J66" s="197"/>
      <x:c r="K66" s="197"/>
      <x:c r="L66" s="197"/>
      <x:c r="M66" s="197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  <x:c r="AA66" s="39"/>
      <x:c r="AB66" s="39"/>
      <x:c r="AC66" s="39"/>
      <x:c r="AD66" s="39"/>
      <x:c r="AE66" s="39"/>
      <x:c r="AF66" s="39"/>
      <x:c r="AG66" s="39"/>
    </x:row>
    <x:row r="67">
      <x:c r="A67" s="197"/>
      <x:c r="B67" s="198" t="str">
        <x:f>IFERROR(VLOOKUP(A67,'Margini Clienti'!$A:$AG,6,FALSE),0)</x:f>
      </x:c>
      <x:c r="C67" s="198" t="str">
        <x:f>IFERROR(VLOOKUP(A67,'Margini Clienti'!$A:$AG,22,FALSE),0)</x:f>
      </x:c>
      <x:c r="D67" s="197"/>
      <x:c r="E67" s="198" t="n">
        <x:f>D67-B67</x:f>
        <x:v>0</x:v>
      </x:c>
      <x:c r="F67" s="198" t="str">
        <x:f>IFERROR(VLOOKUP(A67,'Margini Clienti'!$A:$AG,23,FALSE),0)</x:f>
      </x:c>
      <x:c r="G67" s="198" t="n">
        <x:f>F67+E67</x:f>
        <x:v>0</x:v>
      </x:c>
      <x:c r="H67" s="198" t="n">
        <x:f>IFERROR(VLOOKUP(A67,'Margini Clienti'!$A:$AG,17,FALSE)+VLOOKUP(A67,'Margini Clienti'!$A:$AG,18,FALSE)+VLOOKUP(A67,'Margini Clienti'!$A:$AG,19,FALSE),0)</x:f>
        <x:v>0</x:v>
      </x:c>
      <x:c r="I67" s="197"/>
      <x:c r="J67" s="197"/>
      <x:c r="K67" s="197"/>
      <x:c r="L67" s="197"/>
      <x:c r="M67" s="197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  <x:c r="AA67" s="39"/>
      <x:c r="AB67" s="39"/>
      <x:c r="AC67" s="39"/>
      <x:c r="AD67" s="39"/>
      <x:c r="AE67" s="39"/>
      <x:c r="AF67" s="39"/>
      <x:c r="AG67" s="39"/>
    </x:row>
    <x:row r="68">
      <x:c r="A68" s="197"/>
      <x:c r="B68" s="198" t="str">
        <x:f>IFERROR(VLOOKUP(A68,'Margini Clienti'!$A:$AG,6,FALSE),0)</x:f>
      </x:c>
      <x:c r="C68" s="198" t="str">
        <x:f>IFERROR(VLOOKUP(A68,'Margini Clienti'!$A:$AG,22,FALSE),0)</x:f>
      </x:c>
      <x:c r="D68" s="197"/>
      <x:c r="E68" s="198" t="n">
        <x:f>D68-B68</x:f>
        <x:v>0</x:v>
      </x:c>
      <x:c r="F68" s="198" t="str">
        <x:f>IFERROR(VLOOKUP(A68,'Margini Clienti'!$A:$AG,23,FALSE),0)</x:f>
      </x:c>
      <x:c r="G68" s="198" t="n">
        <x:f>F68+E68</x:f>
        <x:v>0</x:v>
      </x:c>
      <x:c r="H68" s="198" t="n">
        <x:f>IFERROR(VLOOKUP(A68,'Margini Clienti'!$A:$AG,17,FALSE)+VLOOKUP(A68,'Margini Clienti'!$A:$AG,18,FALSE)+VLOOKUP(A68,'Margini Clienti'!$A:$AG,19,FALSE),0)</x:f>
        <x:v>0</x:v>
      </x:c>
      <x:c r="I68" s="197"/>
      <x:c r="J68" s="197"/>
      <x:c r="K68" s="197"/>
      <x:c r="L68" s="197"/>
      <x:c r="M68" s="197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  <x:c r="AA68" s="39"/>
      <x:c r="AB68" s="39"/>
      <x:c r="AC68" s="39"/>
      <x:c r="AD68" s="39"/>
      <x:c r="AE68" s="39"/>
      <x:c r="AF68" s="39"/>
      <x:c r="AG68" s="39"/>
    </x:row>
    <x:row r="69">
      <x:c r="A69" s="197"/>
      <x:c r="B69" s="198" t="str">
        <x:f>IFERROR(VLOOKUP(A69,'Margini Clienti'!$A:$AG,6,FALSE),0)</x:f>
      </x:c>
      <x:c r="C69" s="198" t="str">
        <x:f>IFERROR(VLOOKUP(A69,'Margini Clienti'!$A:$AG,22,FALSE),0)</x:f>
      </x:c>
      <x:c r="D69" s="197"/>
      <x:c r="E69" s="198" t="n">
        <x:f>D69-B69</x:f>
        <x:v>0</x:v>
      </x:c>
      <x:c r="F69" s="198" t="str">
        <x:f>IFERROR(VLOOKUP(A69,'Margini Clienti'!$A:$AG,23,FALSE),0)</x:f>
      </x:c>
      <x:c r="G69" s="198" t="n">
        <x:f>F69+E69</x:f>
        <x:v>0</x:v>
      </x:c>
      <x:c r="H69" s="198" t="n">
        <x:f>IFERROR(VLOOKUP(A69,'Margini Clienti'!$A:$AG,17,FALSE)+VLOOKUP(A69,'Margini Clienti'!$A:$AG,18,FALSE)+VLOOKUP(A69,'Margini Clienti'!$A:$AG,19,FALSE),0)</x:f>
        <x:v>0</x:v>
      </x:c>
      <x:c r="I69" s="197"/>
      <x:c r="J69" s="197"/>
      <x:c r="K69" s="197"/>
      <x:c r="L69" s="197"/>
      <x:c r="M69" s="197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  <x:c r="AA69" s="39"/>
      <x:c r="AB69" s="39"/>
      <x:c r="AC69" s="39"/>
      <x:c r="AD69" s="39"/>
      <x:c r="AE69" s="39"/>
      <x:c r="AF69" s="39"/>
      <x:c r="AG69" s="39"/>
    </x:row>
    <x:row r="70">
      <x:c r="A70" s="197"/>
      <x:c r="B70" s="198" t="str">
        <x:f>IFERROR(VLOOKUP(A70,'Margini Clienti'!$A:$AG,6,FALSE),0)</x:f>
      </x:c>
      <x:c r="C70" s="198" t="str">
        <x:f>IFERROR(VLOOKUP(A70,'Margini Clienti'!$A:$AG,22,FALSE),0)</x:f>
      </x:c>
      <x:c r="D70" s="197"/>
      <x:c r="E70" s="198" t="n">
        <x:f>D70-B70</x:f>
        <x:v>0</x:v>
      </x:c>
      <x:c r="F70" s="198" t="str">
        <x:f>IFERROR(VLOOKUP(A70,'Margini Clienti'!$A:$AG,23,FALSE),0)</x:f>
      </x:c>
      <x:c r="G70" s="198" t="n">
        <x:f>F70+E70</x:f>
        <x:v>0</x:v>
      </x:c>
      <x:c r="H70" s="198" t="n">
        <x:f>IFERROR(VLOOKUP(A70,'Margini Clienti'!$A:$AG,17,FALSE)+VLOOKUP(A70,'Margini Clienti'!$A:$AG,18,FALSE)+VLOOKUP(A70,'Margini Clienti'!$A:$AG,19,FALSE),0)</x:f>
        <x:v>0</x:v>
      </x:c>
      <x:c r="I70" s="197"/>
      <x:c r="J70" s="197"/>
      <x:c r="K70" s="197"/>
      <x:c r="L70" s="197"/>
      <x:c r="M70" s="197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  <x:c r="AA70" s="39"/>
      <x:c r="AB70" s="39"/>
      <x:c r="AC70" s="39"/>
      <x:c r="AD70" s="39"/>
      <x:c r="AE70" s="39"/>
      <x:c r="AF70" s="39"/>
      <x:c r="AG70" s="39"/>
    </x:row>
    <x:row r="71">
      <x:c r="A71" s="197"/>
      <x:c r="B71" s="198" t="str">
        <x:f>IFERROR(VLOOKUP(A71,'Margini Clienti'!$A:$AG,6,FALSE),0)</x:f>
      </x:c>
      <x:c r="C71" s="198" t="str">
        <x:f>IFERROR(VLOOKUP(A71,'Margini Clienti'!$A:$AG,22,FALSE),0)</x:f>
      </x:c>
      <x:c r="D71" s="197"/>
      <x:c r="E71" s="198" t="n">
        <x:f>D71-B71</x:f>
        <x:v>0</x:v>
      </x:c>
      <x:c r="F71" s="198" t="str">
        <x:f>IFERROR(VLOOKUP(A71,'Margini Clienti'!$A:$AG,23,FALSE),0)</x:f>
      </x:c>
      <x:c r="G71" s="198" t="n">
        <x:f>F71+E71</x:f>
        <x:v>0</x:v>
      </x:c>
      <x:c r="H71" s="198" t="n">
        <x:f>IFERROR(VLOOKUP(A71,'Margini Clienti'!$A:$AG,17,FALSE)+VLOOKUP(A71,'Margini Clienti'!$A:$AG,18,FALSE)+VLOOKUP(A71,'Margini Clienti'!$A:$AG,19,FALSE),0)</x:f>
        <x:v>0</x:v>
      </x:c>
      <x:c r="I71" s="197"/>
      <x:c r="J71" s="197"/>
      <x:c r="K71" s="197"/>
      <x:c r="L71" s="197"/>
      <x:c r="M71" s="197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  <x:c r="AA71" s="39"/>
      <x:c r="AB71" s="39"/>
      <x:c r="AC71" s="39"/>
      <x:c r="AD71" s="39"/>
      <x:c r="AE71" s="39"/>
      <x:c r="AF71" s="39"/>
      <x:c r="AG71" s="39"/>
    </x:row>
    <x:row r="72">
      <x:c r="A72" s="197"/>
      <x:c r="B72" s="198" t="str">
        <x:f>IFERROR(VLOOKUP(A72,'Margini Clienti'!$A:$AG,6,FALSE),0)</x:f>
      </x:c>
      <x:c r="C72" s="198" t="str">
        <x:f>IFERROR(VLOOKUP(A72,'Margini Clienti'!$A:$AG,22,FALSE),0)</x:f>
      </x:c>
      <x:c r="D72" s="197"/>
      <x:c r="E72" s="198" t="n">
        <x:f>D72-B72</x:f>
        <x:v>0</x:v>
      </x:c>
      <x:c r="F72" s="198" t="str">
        <x:f>IFERROR(VLOOKUP(A72,'Margini Clienti'!$A:$AG,23,FALSE),0)</x:f>
      </x:c>
      <x:c r="G72" s="198" t="n">
        <x:f>F72+E72</x:f>
        <x:v>0</x:v>
      </x:c>
      <x:c r="H72" s="198" t="n">
        <x:f>IFERROR(VLOOKUP(A72,'Margini Clienti'!$A:$AG,17,FALSE)+VLOOKUP(A72,'Margini Clienti'!$A:$AG,18,FALSE)+VLOOKUP(A72,'Margini Clienti'!$A:$AG,19,FALSE),0)</x:f>
        <x:v>0</x:v>
      </x:c>
      <x:c r="I72" s="197"/>
      <x:c r="J72" s="197"/>
      <x:c r="K72" s="197"/>
      <x:c r="L72" s="197"/>
      <x:c r="M72" s="197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  <x:c r="AA72" s="39"/>
      <x:c r="AB72" s="39"/>
      <x:c r="AC72" s="39"/>
      <x:c r="AD72" s="39"/>
      <x:c r="AE72" s="39"/>
      <x:c r="AF72" s="39"/>
      <x:c r="AG72" s="39"/>
    </x:row>
    <x:row r="73">
      <x:c r="A73" s="197"/>
      <x:c r="B73" s="198" t="str">
        <x:f>IFERROR(VLOOKUP(A73,'Margini Clienti'!$A:$AG,6,FALSE),0)</x:f>
      </x:c>
      <x:c r="C73" s="198" t="str">
        <x:f>IFERROR(VLOOKUP(A73,'Margini Clienti'!$A:$AG,22,FALSE),0)</x:f>
      </x:c>
      <x:c r="D73" s="197"/>
      <x:c r="E73" s="198" t="n">
        <x:f>D73-B73</x:f>
        <x:v>0</x:v>
      </x:c>
      <x:c r="F73" s="198" t="str">
        <x:f>IFERROR(VLOOKUP(A73,'Margini Clienti'!$A:$AG,23,FALSE),0)</x:f>
      </x:c>
      <x:c r="G73" s="198" t="n">
        <x:f>F73+E73</x:f>
        <x:v>0</x:v>
      </x:c>
      <x:c r="H73" s="198" t="n">
        <x:f>IFERROR(VLOOKUP(A73,'Margini Clienti'!$A:$AG,17,FALSE)+VLOOKUP(A73,'Margini Clienti'!$A:$AG,18,FALSE)+VLOOKUP(A73,'Margini Clienti'!$A:$AG,19,FALSE),0)</x:f>
        <x:v>0</x:v>
      </x:c>
      <x:c r="I73" s="197"/>
      <x:c r="J73" s="197"/>
      <x:c r="K73" s="197"/>
      <x:c r="L73" s="197"/>
      <x:c r="M73" s="197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  <x:c r="AA73" s="39"/>
      <x:c r="AB73" s="39"/>
      <x:c r="AC73" s="39"/>
      <x:c r="AD73" s="39"/>
      <x:c r="AE73" s="39"/>
      <x:c r="AF73" s="39"/>
      <x:c r="AG73" s="39"/>
    </x:row>
    <x:row r="74">
      <x:c r="A74" s="197"/>
      <x:c r="B74" s="198" t="str">
        <x:f>IFERROR(VLOOKUP(A74,'Margini Clienti'!$A:$AG,6,FALSE),0)</x:f>
      </x:c>
      <x:c r="C74" s="198" t="str">
        <x:f>IFERROR(VLOOKUP(A74,'Margini Clienti'!$A:$AG,22,FALSE),0)</x:f>
      </x:c>
      <x:c r="D74" s="197"/>
      <x:c r="E74" s="198" t="n">
        <x:f>D74-B74</x:f>
        <x:v>0</x:v>
      </x:c>
      <x:c r="F74" s="198" t="str">
        <x:f>IFERROR(VLOOKUP(A74,'Margini Clienti'!$A:$AG,23,FALSE),0)</x:f>
      </x:c>
      <x:c r="G74" s="198" t="n">
        <x:f>F74+E74</x:f>
        <x:v>0</x:v>
      </x:c>
      <x:c r="H74" s="198" t="n">
        <x:f>IFERROR(VLOOKUP(A74,'Margini Clienti'!$A:$AG,17,FALSE)+VLOOKUP(A74,'Margini Clienti'!$A:$AG,18,FALSE)+VLOOKUP(A74,'Margini Clienti'!$A:$AG,19,FALSE),0)</x:f>
        <x:v>0</x:v>
      </x:c>
      <x:c r="I74" s="197"/>
      <x:c r="J74" s="197"/>
      <x:c r="K74" s="197"/>
      <x:c r="L74" s="197"/>
      <x:c r="M74" s="197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  <x:c r="AA74" s="39"/>
      <x:c r="AB74" s="39"/>
      <x:c r="AC74" s="39"/>
      <x:c r="AD74" s="39"/>
      <x:c r="AE74" s="39"/>
      <x:c r="AF74" s="39"/>
      <x:c r="AG74" s="39"/>
    </x:row>
    <x:row r="75">
      <x:c r="A75" s="197"/>
      <x:c r="B75" s="198" t="str">
        <x:f>IFERROR(VLOOKUP(A75,'Margini Clienti'!$A:$AG,6,FALSE),0)</x:f>
      </x:c>
      <x:c r="C75" s="198" t="str">
        <x:f>IFERROR(VLOOKUP(A75,'Margini Clienti'!$A:$AG,22,FALSE),0)</x:f>
      </x:c>
      <x:c r="D75" s="197"/>
      <x:c r="E75" s="198" t="n">
        <x:f>D75-B75</x:f>
        <x:v>0</x:v>
      </x:c>
      <x:c r="F75" s="198" t="str">
        <x:f>IFERROR(VLOOKUP(A75,'Margini Clienti'!$A:$AG,23,FALSE),0)</x:f>
      </x:c>
      <x:c r="G75" s="198" t="n">
        <x:f>F75+E75</x:f>
        <x:v>0</x:v>
      </x:c>
      <x:c r="H75" s="198" t="n">
        <x:f>IFERROR(VLOOKUP(A75,'Margini Clienti'!$A:$AG,17,FALSE)+VLOOKUP(A75,'Margini Clienti'!$A:$AG,18,FALSE)+VLOOKUP(A75,'Margini Clienti'!$A:$AG,19,FALSE),0)</x:f>
        <x:v>0</x:v>
      </x:c>
      <x:c r="I75" s="197"/>
      <x:c r="J75" s="197"/>
      <x:c r="K75" s="197"/>
      <x:c r="L75" s="197"/>
      <x:c r="M75" s="197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  <x:c r="AA75" s="39"/>
      <x:c r="AB75" s="39"/>
      <x:c r="AC75" s="39"/>
      <x:c r="AD75" s="39"/>
      <x:c r="AE75" s="39"/>
      <x:c r="AF75" s="39"/>
      <x:c r="AG75" s="39"/>
    </x:row>
    <x:row r="76">
      <x:c r="A76" s="197"/>
      <x:c r="B76" s="198" t="str">
        <x:f>IFERROR(VLOOKUP(A76,'Margini Clienti'!$A:$AG,6,FALSE),0)</x:f>
      </x:c>
      <x:c r="C76" s="198" t="str">
        <x:f>IFERROR(VLOOKUP(A76,'Margini Clienti'!$A:$AG,22,FALSE),0)</x:f>
      </x:c>
      <x:c r="D76" s="197"/>
      <x:c r="E76" s="198" t="n">
        <x:f>D76-B76</x:f>
        <x:v>0</x:v>
      </x:c>
      <x:c r="F76" s="198" t="str">
        <x:f>IFERROR(VLOOKUP(A76,'Margini Clienti'!$A:$AG,23,FALSE),0)</x:f>
      </x:c>
      <x:c r="G76" s="198" t="n">
        <x:f>F76+E76</x:f>
        <x:v>0</x:v>
      </x:c>
      <x:c r="H76" s="198" t="n">
        <x:f>IFERROR(VLOOKUP(A76,'Margini Clienti'!$A:$AG,17,FALSE)+VLOOKUP(A76,'Margini Clienti'!$A:$AG,18,FALSE)+VLOOKUP(A76,'Margini Clienti'!$A:$AG,19,FALSE),0)</x:f>
        <x:v>0</x:v>
      </x:c>
      <x:c r="I76" s="197"/>
      <x:c r="J76" s="197"/>
      <x:c r="K76" s="197"/>
      <x:c r="L76" s="197"/>
      <x:c r="M76" s="197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  <x:c r="AA76" s="39"/>
      <x:c r="AB76" s="39"/>
      <x:c r="AC76" s="39"/>
      <x:c r="AD76" s="39"/>
      <x:c r="AE76" s="39"/>
      <x:c r="AF76" s="39"/>
      <x:c r="AG76" s="39"/>
    </x:row>
    <x:row r="77">
      <x:c r="A77" s="197"/>
      <x:c r="B77" s="198" t="str">
        <x:f>IFERROR(VLOOKUP(A77,'Margini Clienti'!$A:$AG,6,FALSE),0)</x:f>
      </x:c>
      <x:c r="C77" s="198" t="str">
        <x:f>IFERROR(VLOOKUP(A77,'Margini Clienti'!$A:$AG,22,FALSE),0)</x:f>
      </x:c>
      <x:c r="D77" s="197"/>
      <x:c r="E77" s="198" t="n">
        <x:f>D77-B77</x:f>
        <x:v>0</x:v>
      </x:c>
      <x:c r="F77" s="198" t="str">
        <x:f>IFERROR(VLOOKUP(A77,'Margini Clienti'!$A:$AG,23,FALSE),0)</x:f>
      </x:c>
      <x:c r="G77" s="198" t="n">
        <x:f>F77+E77</x:f>
        <x:v>0</x:v>
      </x:c>
      <x:c r="H77" s="198" t="n">
        <x:f>IFERROR(VLOOKUP(A77,'Margini Clienti'!$A:$AG,17,FALSE)+VLOOKUP(A77,'Margini Clienti'!$A:$AG,18,FALSE)+VLOOKUP(A77,'Margini Clienti'!$A:$AG,19,FALSE),0)</x:f>
        <x:v>0</x:v>
      </x:c>
      <x:c r="I77" s="197"/>
      <x:c r="J77" s="197"/>
      <x:c r="K77" s="197"/>
      <x:c r="L77" s="197"/>
      <x:c r="M77" s="197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  <x:c r="AA77" s="39"/>
      <x:c r="AB77" s="39"/>
      <x:c r="AC77" s="39"/>
      <x:c r="AD77" s="39"/>
      <x:c r="AE77" s="39"/>
      <x:c r="AF77" s="39"/>
      <x:c r="AG77" s="39"/>
    </x:row>
    <x:row r="78">
      <x:c r="A78" s="197"/>
      <x:c r="B78" s="198" t="str">
        <x:f>IFERROR(VLOOKUP(A78,'Margini Clienti'!$A:$AG,6,FALSE),0)</x:f>
      </x:c>
      <x:c r="C78" s="198" t="str">
        <x:f>IFERROR(VLOOKUP(A78,'Margini Clienti'!$A:$AG,22,FALSE),0)</x:f>
      </x:c>
      <x:c r="D78" s="197"/>
      <x:c r="E78" s="198" t="n">
        <x:f>D78-B78</x:f>
        <x:v>0</x:v>
      </x:c>
      <x:c r="F78" s="198" t="str">
        <x:f>IFERROR(VLOOKUP(A78,'Margini Clienti'!$A:$AG,23,FALSE),0)</x:f>
      </x:c>
      <x:c r="G78" s="198" t="n">
        <x:f>F78+E78</x:f>
        <x:v>0</x:v>
      </x:c>
      <x:c r="H78" s="198" t="n">
        <x:f>IFERROR(VLOOKUP(A78,'Margini Clienti'!$A:$AG,17,FALSE)+VLOOKUP(A78,'Margini Clienti'!$A:$AG,18,FALSE)+VLOOKUP(A78,'Margini Clienti'!$A:$AG,19,FALSE),0)</x:f>
        <x:v>0</x:v>
      </x:c>
      <x:c r="I78" s="197"/>
      <x:c r="J78" s="197"/>
      <x:c r="K78" s="197"/>
      <x:c r="L78" s="197"/>
      <x:c r="M78" s="197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  <x:c r="AA78" s="39"/>
      <x:c r="AB78" s="39"/>
      <x:c r="AC78" s="39"/>
      <x:c r="AD78" s="39"/>
      <x:c r="AE78" s="39"/>
      <x:c r="AF78" s="39"/>
      <x:c r="AG78" s="39"/>
    </x:row>
    <x:row r="79">
      <x:c r="A79" s="197"/>
      <x:c r="B79" s="198" t="str">
        <x:f>IFERROR(VLOOKUP(A79,'Margini Clienti'!$A:$AG,6,FALSE),0)</x:f>
      </x:c>
      <x:c r="C79" s="198" t="str">
        <x:f>IFERROR(VLOOKUP(A79,'Margini Clienti'!$A:$AG,22,FALSE),0)</x:f>
      </x:c>
      <x:c r="D79" s="197"/>
      <x:c r="E79" s="198" t="n">
        <x:f>D79-B79</x:f>
        <x:v>0</x:v>
      </x:c>
      <x:c r="F79" s="198" t="str">
        <x:f>IFERROR(VLOOKUP(A79,'Margini Clienti'!$A:$AG,23,FALSE),0)</x:f>
      </x:c>
      <x:c r="G79" s="198" t="n">
        <x:f>F79+E79</x:f>
        <x:v>0</x:v>
      </x:c>
      <x:c r="H79" s="198" t="n">
        <x:f>IFERROR(VLOOKUP(A79,'Margini Clienti'!$A:$AG,17,FALSE)+VLOOKUP(A79,'Margini Clienti'!$A:$AG,18,FALSE)+VLOOKUP(A79,'Margini Clienti'!$A:$AG,19,FALSE),0)</x:f>
        <x:v>0</x:v>
      </x:c>
      <x:c r="I79" s="197"/>
      <x:c r="J79" s="197"/>
      <x:c r="K79" s="197"/>
      <x:c r="L79" s="197"/>
      <x:c r="M79" s="197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  <x:c r="AA79" s="39"/>
      <x:c r="AB79" s="39"/>
      <x:c r="AC79" s="39"/>
      <x:c r="AD79" s="39"/>
      <x:c r="AE79" s="39"/>
      <x:c r="AF79" s="39"/>
      <x:c r="AG79" s="39"/>
    </x:row>
    <x:row r="80">
      <x:c r="A80" s="197"/>
      <x:c r="B80" s="198" t="str">
        <x:f>IFERROR(VLOOKUP(A80,'Margini Clienti'!$A:$AG,6,FALSE),0)</x:f>
      </x:c>
      <x:c r="C80" s="198" t="str">
        <x:f>IFERROR(VLOOKUP(A80,'Margini Clienti'!$A:$AG,22,FALSE),0)</x:f>
      </x:c>
      <x:c r="D80" s="197"/>
      <x:c r="E80" s="198" t="n">
        <x:f>D80-B80</x:f>
        <x:v>0</x:v>
      </x:c>
      <x:c r="F80" s="198" t="str">
        <x:f>IFERROR(VLOOKUP(A80,'Margini Clienti'!$A:$AG,23,FALSE),0)</x:f>
      </x:c>
      <x:c r="G80" s="198" t="n">
        <x:f>F80+E80</x:f>
        <x:v>0</x:v>
      </x:c>
      <x:c r="H80" s="198" t="n">
        <x:f>IFERROR(VLOOKUP(A80,'Margini Clienti'!$A:$AG,17,FALSE)+VLOOKUP(A80,'Margini Clienti'!$A:$AG,18,FALSE)+VLOOKUP(A80,'Margini Clienti'!$A:$AG,19,FALSE),0)</x:f>
        <x:v>0</x:v>
      </x:c>
      <x:c r="I80" s="197"/>
      <x:c r="J80" s="197"/>
      <x:c r="K80" s="197"/>
      <x:c r="L80" s="197"/>
      <x:c r="M80" s="197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  <x:c r="AA80" s="39"/>
      <x:c r="AB80" s="39"/>
      <x:c r="AC80" s="39"/>
      <x:c r="AD80" s="39"/>
      <x:c r="AE80" s="39"/>
      <x:c r="AF80" s="39"/>
      <x:c r="AG80" s="39"/>
    </x:row>
    <x:row r="81">
      <x:c r="A81" s="197"/>
      <x:c r="B81" s="198" t="str">
        <x:f>IFERROR(VLOOKUP(A81,'Margini Clienti'!$A:$AG,6,FALSE),0)</x:f>
      </x:c>
      <x:c r="C81" s="198" t="str">
        <x:f>IFERROR(VLOOKUP(A81,'Margini Clienti'!$A:$AG,22,FALSE),0)</x:f>
      </x:c>
      <x:c r="D81" s="197"/>
      <x:c r="E81" s="198" t="n">
        <x:f>D81-B81</x:f>
        <x:v>0</x:v>
      </x:c>
      <x:c r="F81" s="198" t="str">
        <x:f>IFERROR(VLOOKUP(A81,'Margini Clienti'!$A:$AG,23,FALSE),0)</x:f>
      </x:c>
      <x:c r="G81" s="198" t="n">
        <x:f>F81+E81</x:f>
        <x:v>0</x:v>
      </x:c>
      <x:c r="H81" s="198" t="n">
        <x:f>IFERROR(VLOOKUP(A81,'Margini Clienti'!$A:$AG,17,FALSE)+VLOOKUP(A81,'Margini Clienti'!$A:$AG,18,FALSE)+VLOOKUP(A81,'Margini Clienti'!$A:$AG,19,FALSE),0)</x:f>
        <x:v>0</x:v>
      </x:c>
      <x:c r="I81" s="197"/>
      <x:c r="J81" s="197"/>
      <x:c r="K81" s="197"/>
      <x:c r="L81" s="197"/>
      <x:c r="M81" s="197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  <x:c r="AA81" s="39"/>
      <x:c r="AB81" s="39"/>
      <x:c r="AC81" s="39"/>
      <x:c r="AD81" s="39"/>
      <x:c r="AE81" s="39"/>
      <x:c r="AF81" s="39"/>
      <x:c r="AG81" s="39"/>
    </x:row>
    <x:row r="82">
      <x:c r="A82" s="197"/>
      <x:c r="B82" s="198" t="str">
        <x:f>IFERROR(VLOOKUP(A82,'Margini Clienti'!$A:$AG,6,FALSE),0)</x:f>
      </x:c>
      <x:c r="C82" s="198" t="str">
        <x:f>IFERROR(VLOOKUP(A82,'Margini Clienti'!$A:$AG,22,FALSE),0)</x:f>
      </x:c>
      <x:c r="D82" s="197"/>
      <x:c r="E82" s="198" t="n">
        <x:f>D82-B82</x:f>
        <x:v>0</x:v>
      </x:c>
      <x:c r="F82" s="198" t="str">
        <x:f>IFERROR(VLOOKUP(A82,'Margini Clienti'!$A:$AG,23,FALSE),0)</x:f>
      </x:c>
      <x:c r="G82" s="198" t="n">
        <x:f>F82+E82</x:f>
        <x:v>0</x:v>
      </x:c>
      <x:c r="H82" s="198" t="n">
        <x:f>IFERROR(VLOOKUP(A82,'Margini Clienti'!$A:$AG,17,FALSE)+VLOOKUP(A82,'Margini Clienti'!$A:$AG,18,FALSE)+VLOOKUP(A82,'Margini Clienti'!$A:$AG,19,FALSE),0)</x:f>
        <x:v>0</x:v>
      </x:c>
      <x:c r="I82" s="197"/>
      <x:c r="J82" s="197"/>
      <x:c r="K82" s="197"/>
      <x:c r="L82" s="197"/>
      <x:c r="M82" s="197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  <x:c r="AA82" s="39"/>
      <x:c r="AB82" s="39"/>
      <x:c r="AC82" s="39"/>
      <x:c r="AD82" s="39"/>
      <x:c r="AE82" s="39"/>
      <x:c r="AF82" s="39"/>
      <x:c r="AG82" s="39"/>
    </x:row>
    <x:row r="83">
      <x:c r="A83" s="197"/>
      <x:c r="B83" s="198" t="str">
        <x:f>IFERROR(VLOOKUP(A83,'Margini Clienti'!$A:$AG,6,FALSE),0)</x:f>
      </x:c>
      <x:c r="C83" s="198" t="str">
        <x:f>IFERROR(VLOOKUP(A83,'Margini Clienti'!$A:$AG,22,FALSE),0)</x:f>
      </x:c>
      <x:c r="D83" s="197"/>
      <x:c r="E83" s="198" t="n">
        <x:f>D83-B83</x:f>
        <x:v>0</x:v>
      </x:c>
      <x:c r="F83" s="198" t="str">
        <x:f>IFERROR(VLOOKUP(A83,'Margini Clienti'!$A:$AG,23,FALSE),0)</x:f>
      </x:c>
      <x:c r="G83" s="198" t="n">
        <x:f>F83+E83</x:f>
        <x:v>0</x:v>
      </x:c>
      <x:c r="H83" s="198" t="n">
        <x:f>IFERROR(VLOOKUP(A83,'Margini Clienti'!$A:$AG,17,FALSE)+VLOOKUP(A83,'Margini Clienti'!$A:$AG,18,FALSE)+VLOOKUP(A83,'Margini Clienti'!$A:$AG,19,FALSE),0)</x:f>
        <x:v>0</x:v>
      </x:c>
      <x:c r="I83" s="197"/>
      <x:c r="J83" s="197"/>
      <x:c r="K83" s="197"/>
      <x:c r="L83" s="197"/>
      <x:c r="M83" s="197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  <x:c r="AA83" s="39"/>
      <x:c r="AB83" s="39"/>
      <x:c r="AC83" s="39"/>
      <x:c r="AD83" s="39"/>
      <x:c r="AE83" s="39"/>
      <x:c r="AF83" s="39"/>
      <x:c r="AG83" s="39"/>
    </x:row>
    <x:row r="84">
      <x:c r="A84" s="197"/>
      <x:c r="B84" s="198" t="str">
        <x:f>IFERROR(VLOOKUP(A84,'Margini Clienti'!$A:$AG,6,FALSE),0)</x:f>
      </x:c>
      <x:c r="C84" s="198" t="str">
        <x:f>IFERROR(VLOOKUP(A84,'Margini Clienti'!$A:$AG,22,FALSE),0)</x:f>
      </x:c>
      <x:c r="D84" s="197"/>
      <x:c r="E84" s="198" t="n">
        <x:f>D84-B84</x:f>
        <x:v>0</x:v>
      </x:c>
      <x:c r="F84" s="198" t="str">
        <x:f>IFERROR(VLOOKUP(A84,'Margini Clienti'!$A:$AG,23,FALSE),0)</x:f>
      </x:c>
      <x:c r="G84" s="198" t="n">
        <x:f>F84+E84</x:f>
        <x:v>0</x:v>
      </x:c>
      <x:c r="H84" s="198" t="n">
        <x:f>IFERROR(VLOOKUP(A84,'Margini Clienti'!$A:$AG,17,FALSE)+VLOOKUP(A84,'Margini Clienti'!$A:$AG,18,FALSE)+VLOOKUP(A84,'Margini Clienti'!$A:$AG,19,FALSE),0)</x:f>
        <x:v>0</x:v>
      </x:c>
      <x:c r="I84" s="197"/>
      <x:c r="J84" s="197"/>
      <x:c r="K84" s="197"/>
      <x:c r="L84" s="197"/>
      <x:c r="M84" s="197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  <x:c r="AA84" s="39"/>
      <x:c r="AB84" s="39"/>
      <x:c r="AC84" s="39"/>
      <x:c r="AD84" s="39"/>
      <x:c r="AE84" s="39"/>
      <x:c r="AF84" s="39"/>
      <x:c r="AG84" s="39"/>
    </x:row>
    <x:row r="85">
      <x:c r="A85" s="197"/>
      <x:c r="B85" s="198" t="str">
        <x:f>IFERROR(VLOOKUP(A85,'Margini Clienti'!$A:$AG,6,FALSE),0)</x:f>
      </x:c>
      <x:c r="C85" s="198" t="str">
        <x:f>IFERROR(VLOOKUP(A85,'Margini Clienti'!$A:$AG,22,FALSE),0)</x:f>
      </x:c>
      <x:c r="D85" s="197"/>
      <x:c r="E85" s="198" t="n">
        <x:f>D85-B85</x:f>
        <x:v>0</x:v>
      </x:c>
      <x:c r="F85" s="198" t="str">
        <x:f>IFERROR(VLOOKUP(A85,'Margini Clienti'!$A:$AG,23,FALSE),0)</x:f>
      </x:c>
      <x:c r="G85" s="198" t="n">
        <x:f>F85+E85</x:f>
        <x:v>0</x:v>
      </x:c>
      <x:c r="H85" s="198" t="n">
        <x:f>IFERROR(VLOOKUP(A85,'Margini Clienti'!$A:$AG,17,FALSE)+VLOOKUP(A85,'Margini Clienti'!$A:$AG,18,FALSE)+VLOOKUP(A85,'Margini Clienti'!$A:$AG,19,FALSE),0)</x:f>
        <x:v>0</x:v>
      </x:c>
      <x:c r="I85" s="197"/>
      <x:c r="J85" s="197"/>
      <x:c r="K85" s="197"/>
      <x:c r="L85" s="197"/>
      <x:c r="M85" s="197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  <x:c r="AA85" s="39"/>
      <x:c r="AB85" s="39"/>
      <x:c r="AC85" s="39"/>
      <x:c r="AD85" s="39"/>
      <x:c r="AE85" s="39"/>
      <x:c r="AF85" s="39"/>
      <x:c r="AG85" s="39"/>
    </x:row>
    <x:row r="86">
      <x:c r="A86" s="197"/>
      <x:c r="B86" s="198" t="str">
        <x:f>IFERROR(VLOOKUP(A86,'Margini Clienti'!$A:$AG,6,FALSE),0)</x:f>
      </x:c>
      <x:c r="C86" s="198" t="str">
        <x:f>IFERROR(VLOOKUP(A86,'Margini Clienti'!$A:$AG,22,FALSE),0)</x:f>
      </x:c>
      <x:c r="D86" s="197"/>
      <x:c r="E86" s="198" t="n">
        <x:f>D86-B86</x:f>
        <x:v>0</x:v>
      </x:c>
      <x:c r="F86" s="198" t="str">
        <x:f>IFERROR(VLOOKUP(A86,'Margini Clienti'!$A:$AG,23,FALSE),0)</x:f>
      </x:c>
      <x:c r="G86" s="198" t="n">
        <x:f>F86+E86</x:f>
        <x:v>0</x:v>
      </x:c>
      <x:c r="H86" s="198" t="n">
        <x:f>IFERROR(VLOOKUP(A86,'Margini Clienti'!$A:$AG,17,FALSE)+VLOOKUP(A86,'Margini Clienti'!$A:$AG,18,FALSE)+VLOOKUP(A86,'Margini Clienti'!$A:$AG,19,FALSE),0)</x:f>
        <x:v>0</x:v>
      </x:c>
      <x:c r="I86" s="197"/>
      <x:c r="J86" s="197"/>
      <x:c r="K86" s="197"/>
      <x:c r="L86" s="197"/>
      <x:c r="M86" s="197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  <x:c r="AA86" s="39"/>
      <x:c r="AB86" s="39"/>
      <x:c r="AC86" s="39"/>
      <x:c r="AD86" s="39"/>
      <x:c r="AE86" s="39"/>
      <x:c r="AF86" s="39"/>
      <x:c r="AG86" s="39"/>
    </x:row>
    <x:row r="87">
      <x:c r="A87" s="197"/>
      <x:c r="B87" s="198" t="str">
        <x:f>IFERROR(VLOOKUP(A87,'Margini Clienti'!$A:$AG,6,FALSE),0)</x:f>
      </x:c>
      <x:c r="C87" s="198" t="str">
        <x:f>IFERROR(VLOOKUP(A87,'Margini Clienti'!$A:$AG,22,FALSE),0)</x:f>
      </x:c>
      <x:c r="D87" s="197"/>
      <x:c r="E87" s="198" t="n">
        <x:f>D87-B87</x:f>
        <x:v>0</x:v>
      </x:c>
      <x:c r="F87" s="198" t="str">
        <x:f>IFERROR(VLOOKUP(A87,'Margini Clienti'!$A:$AG,23,FALSE),0)</x:f>
      </x:c>
      <x:c r="G87" s="198" t="n">
        <x:f>F87+E87</x:f>
        <x:v>0</x:v>
      </x:c>
      <x:c r="H87" s="198" t="n">
        <x:f>IFERROR(VLOOKUP(A87,'Margini Clienti'!$A:$AG,17,FALSE)+VLOOKUP(A87,'Margini Clienti'!$A:$AG,18,FALSE)+VLOOKUP(A87,'Margini Clienti'!$A:$AG,19,FALSE),0)</x:f>
        <x:v>0</x:v>
      </x:c>
      <x:c r="I87" s="197"/>
      <x:c r="J87" s="197"/>
      <x:c r="K87" s="197"/>
      <x:c r="L87" s="197"/>
      <x:c r="M87" s="197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  <x:c r="AA87" s="39"/>
      <x:c r="AB87" s="39"/>
      <x:c r="AC87" s="39"/>
      <x:c r="AD87" s="39"/>
      <x:c r="AE87" s="39"/>
      <x:c r="AF87" s="39"/>
      <x:c r="AG87" s="39"/>
    </x:row>
    <x:row r="88">
      <x:c r="A88" s="197"/>
      <x:c r="B88" s="198" t="str">
        <x:f>IFERROR(VLOOKUP(A88,'Margini Clienti'!$A:$AG,6,FALSE),0)</x:f>
      </x:c>
      <x:c r="C88" s="198" t="str">
        <x:f>IFERROR(VLOOKUP(A88,'Margini Clienti'!$A:$AG,22,FALSE),0)</x:f>
      </x:c>
      <x:c r="D88" s="197"/>
      <x:c r="E88" s="198" t="n">
        <x:f>D88-B88</x:f>
        <x:v>0</x:v>
      </x:c>
      <x:c r="F88" s="198" t="str">
        <x:f>IFERROR(VLOOKUP(A88,'Margini Clienti'!$A:$AG,23,FALSE),0)</x:f>
      </x:c>
      <x:c r="G88" s="198" t="n">
        <x:f>F88+E88</x:f>
        <x:v>0</x:v>
      </x:c>
      <x:c r="H88" s="198" t="n">
        <x:f>IFERROR(VLOOKUP(A88,'Margini Clienti'!$A:$AG,17,FALSE)+VLOOKUP(A88,'Margini Clienti'!$A:$AG,18,FALSE)+VLOOKUP(A88,'Margini Clienti'!$A:$AG,19,FALSE),0)</x:f>
        <x:v>0</x:v>
      </x:c>
      <x:c r="I88" s="197"/>
      <x:c r="J88" s="197"/>
      <x:c r="K88" s="197"/>
      <x:c r="L88" s="197"/>
      <x:c r="M88" s="197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  <x:c r="AA88" s="39"/>
      <x:c r="AB88" s="39"/>
      <x:c r="AC88" s="39"/>
      <x:c r="AD88" s="39"/>
      <x:c r="AE88" s="39"/>
      <x:c r="AF88" s="39"/>
      <x:c r="AG88" s="39"/>
    </x:row>
    <x:row r="89">
      <x:c r="A89" s="197"/>
      <x:c r="B89" s="198" t="str">
        <x:f>IFERROR(VLOOKUP(A89,'Margini Clienti'!$A:$AG,6,FALSE),0)</x:f>
      </x:c>
      <x:c r="C89" s="198" t="str">
        <x:f>IFERROR(VLOOKUP(A89,'Margini Clienti'!$A:$AG,22,FALSE),0)</x:f>
      </x:c>
      <x:c r="D89" s="197"/>
      <x:c r="E89" s="198" t="n">
        <x:f>D89-B89</x:f>
        <x:v>0</x:v>
      </x:c>
      <x:c r="F89" s="198" t="str">
        <x:f>IFERROR(VLOOKUP(A89,'Margini Clienti'!$A:$AG,23,FALSE),0)</x:f>
      </x:c>
      <x:c r="G89" s="198" t="n">
        <x:f>F89+E89</x:f>
        <x:v>0</x:v>
      </x:c>
      <x:c r="H89" s="198" t="n">
        <x:f>IFERROR(VLOOKUP(A89,'Margini Clienti'!$A:$AG,17,FALSE)+VLOOKUP(A89,'Margini Clienti'!$A:$AG,18,FALSE)+VLOOKUP(A89,'Margini Clienti'!$A:$AG,19,FALSE),0)</x:f>
        <x:v>0</x:v>
      </x:c>
      <x:c r="I89" s="197"/>
      <x:c r="J89" s="197"/>
      <x:c r="K89" s="197"/>
      <x:c r="L89" s="197"/>
      <x:c r="M89" s="197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  <x:c r="AA89" s="39"/>
      <x:c r="AB89" s="39"/>
      <x:c r="AC89" s="39"/>
      <x:c r="AD89" s="39"/>
      <x:c r="AE89" s="39"/>
      <x:c r="AF89" s="39"/>
      <x:c r="AG89" s="39"/>
    </x:row>
    <x:row r="90">
      <x:c r="A90" s="197"/>
      <x:c r="B90" s="198" t="str">
        <x:f>IFERROR(VLOOKUP(A90,'Margini Clienti'!$A:$AG,6,FALSE),0)</x:f>
      </x:c>
      <x:c r="C90" s="198" t="str">
        <x:f>IFERROR(VLOOKUP(A90,'Margini Clienti'!$A:$AG,22,FALSE),0)</x:f>
      </x:c>
      <x:c r="D90" s="197"/>
      <x:c r="E90" s="198" t="n">
        <x:f>D90-B90</x:f>
        <x:v>0</x:v>
      </x:c>
      <x:c r="F90" s="198" t="str">
        <x:f>IFERROR(VLOOKUP(A90,'Margini Clienti'!$A:$AG,23,FALSE),0)</x:f>
      </x:c>
      <x:c r="G90" s="198" t="n">
        <x:f>F90+E90</x:f>
        <x:v>0</x:v>
      </x:c>
      <x:c r="H90" s="198" t="n">
        <x:f>IFERROR(VLOOKUP(A90,'Margini Clienti'!$A:$AG,17,FALSE)+VLOOKUP(A90,'Margini Clienti'!$A:$AG,18,FALSE)+VLOOKUP(A90,'Margini Clienti'!$A:$AG,19,FALSE),0)</x:f>
        <x:v>0</x:v>
      </x:c>
      <x:c r="I90" s="197"/>
      <x:c r="J90" s="197"/>
      <x:c r="K90" s="197"/>
      <x:c r="L90" s="197"/>
      <x:c r="M90" s="197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  <x:c r="AA90" s="39"/>
      <x:c r="AB90" s="39"/>
      <x:c r="AC90" s="39"/>
      <x:c r="AD90" s="39"/>
      <x:c r="AE90" s="39"/>
      <x:c r="AF90" s="39"/>
      <x:c r="AG90" s="39"/>
    </x:row>
    <x:row r="91">
      <x:c r="A91" s="197"/>
      <x:c r="B91" s="198" t="str">
        <x:f>IFERROR(VLOOKUP(A91,'Margini Clienti'!$A:$AG,6,FALSE),0)</x:f>
      </x:c>
      <x:c r="C91" s="198" t="str">
        <x:f>IFERROR(VLOOKUP(A91,'Margini Clienti'!$A:$AG,22,FALSE),0)</x:f>
      </x:c>
      <x:c r="D91" s="197"/>
      <x:c r="E91" s="198" t="n">
        <x:f>D91-B91</x:f>
        <x:v>0</x:v>
      </x:c>
      <x:c r="F91" s="198" t="str">
        <x:f>IFERROR(VLOOKUP(A91,'Margini Clienti'!$A:$AG,23,FALSE),0)</x:f>
      </x:c>
      <x:c r="G91" s="198" t="n">
        <x:f>F91+E91</x:f>
        <x:v>0</x:v>
      </x:c>
      <x:c r="H91" s="198" t="n">
        <x:f>IFERROR(VLOOKUP(A91,'Margini Clienti'!$A:$AG,17,FALSE)+VLOOKUP(A91,'Margini Clienti'!$A:$AG,18,FALSE)+VLOOKUP(A91,'Margini Clienti'!$A:$AG,19,FALSE),0)</x:f>
        <x:v>0</x:v>
      </x:c>
      <x:c r="I91" s="197"/>
      <x:c r="J91" s="197"/>
      <x:c r="K91" s="197"/>
      <x:c r="L91" s="197"/>
      <x:c r="M91" s="197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  <x:c r="AA91" s="39"/>
      <x:c r="AB91" s="39"/>
      <x:c r="AC91" s="39"/>
      <x:c r="AD91" s="39"/>
      <x:c r="AE91" s="39"/>
      <x:c r="AF91" s="39"/>
      <x:c r="AG91" s="39"/>
    </x:row>
    <x:row r="92">
      <x:c r="A92" s="197"/>
      <x:c r="B92" s="198" t="str">
        <x:f>IFERROR(VLOOKUP(A92,'Margini Clienti'!$A:$AG,6,FALSE),0)</x:f>
      </x:c>
      <x:c r="C92" s="198" t="str">
        <x:f>IFERROR(VLOOKUP(A92,'Margini Clienti'!$A:$AG,22,FALSE),0)</x:f>
      </x:c>
      <x:c r="D92" s="197"/>
      <x:c r="E92" s="198" t="n">
        <x:f>D92-B92</x:f>
        <x:v>0</x:v>
      </x:c>
      <x:c r="F92" s="198" t="str">
        <x:f>IFERROR(VLOOKUP(A92,'Margini Clienti'!$A:$AG,23,FALSE),0)</x:f>
      </x:c>
      <x:c r="G92" s="198" t="n">
        <x:f>F92+E92</x:f>
        <x:v>0</x:v>
      </x:c>
      <x:c r="H92" s="198" t="n">
        <x:f>IFERROR(VLOOKUP(A92,'Margini Clienti'!$A:$AG,17,FALSE)+VLOOKUP(A92,'Margini Clienti'!$A:$AG,18,FALSE)+VLOOKUP(A92,'Margini Clienti'!$A:$AG,19,FALSE),0)</x:f>
        <x:v>0</x:v>
      </x:c>
      <x:c r="I92" s="197"/>
      <x:c r="J92" s="197"/>
      <x:c r="K92" s="197"/>
      <x:c r="L92" s="197"/>
      <x:c r="M92" s="197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  <x:c r="AA92" s="39"/>
      <x:c r="AB92" s="39"/>
      <x:c r="AC92" s="39"/>
      <x:c r="AD92" s="39"/>
      <x:c r="AE92" s="39"/>
      <x:c r="AF92" s="39"/>
      <x:c r="AG92" s="39"/>
    </x:row>
    <x:row r="93">
      <x:c r="A93" s="197"/>
      <x:c r="B93" s="198" t="str">
        <x:f>IFERROR(VLOOKUP(A93,'Margini Clienti'!$A:$AG,6,FALSE),0)</x:f>
      </x:c>
      <x:c r="C93" s="198" t="str">
        <x:f>IFERROR(VLOOKUP(A93,'Margini Clienti'!$A:$AG,22,FALSE),0)</x:f>
      </x:c>
      <x:c r="D93" s="197"/>
      <x:c r="E93" s="198" t="n">
        <x:f>D93-B93</x:f>
        <x:v>0</x:v>
      </x:c>
      <x:c r="F93" s="198" t="str">
        <x:f>IFERROR(VLOOKUP(A93,'Margini Clienti'!$A:$AG,23,FALSE),0)</x:f>
      </x:c>
      <x:c r="G93" s="198" t="n">
        <x:f>F93+E93</x:f>
        <x:v>0</x:v>
      </x:c>
      <x:c r="H93" s="198" t="n">
        <x:f>IFERROR(VLOOKUP(A93,'Margini Clienti'!$A:$AG,17,FALSE)+VLOOKUP(A93,'Margini Clienti'!$A:$AG,18,FALSE)+VLOOKUP(A93,'Margini Clienti'!$A:$AG,19,FALSE),0)</x:f>
        <x:v>0</x:v>
      </x:c>
      <x:c r="I93" s="197"/>
      <x:c r="J93" s="197"/>
      <x:c r="K93" s="197"/>
      <x:c r="L93" s="197"/>
      <x:c r="M93" s="197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  <x:c r="AA93" s="39"/>
      <x:c r="AB93" s="39"/>
      <x:c r="AC93" s="39"/>
      <x:c r="AD93" s="39"/>
      <x:c r="AE93" s="39"/>
      <x:c r="AF93" s="39"/>
      <x:c r="AG93" s="39"/>
    </x:row>
    <x:row r="94">
      <x:c r="A94" s="197"/>
      <x:c r="B94" s="198" t="str">
        <x:f>IFERROR(VLOOKUP(A94,'Margini Clienti'!$A:$AG,6,FALSE),0)</x:f>
      </x:c>
      <x:c r="C94" s="198" t="str">
        <x:f>IFERROR(VLOOKUP(A94,'Margini Clienti'!$A:$AG,22,FALSE),0)</x:f>
      </x:c>
      <x:c r="D94" s="197"/>
      <x:c r="E94" s="198" t="n">
        <x:f>D94-B94</x:f>
        <x:v>0</x:v>
      </x:c>
      <x:c r="F94" s="198" t="str">
        <x:f>IFERROR(VLOOKUP(A94,'Margini Clienti'!$A:$AG,23,FALSE),0)</x:f>
      </x:c>
      <x:c r="G94" s="198" t="n">
        <x:f>F94+E94</x:f>
        <x:v>0</x:v>
      </x:c>
      <x:c r="H94" s="198" t="n">
        <x:f>IFERROR(VLOOKUP(A94,'Margini Clienti'!$A:$AG,17,FALSE)+VLOOKUP(A94,'Margini Clienti'!$A:$AG,18,FALSE)+VLOOKUP(A94,'Margini Clienti'!$A:$AG,19,FALSE),0)</x:f>
        <x:v>0</x:v>
      </x:c>
      <x:c r="I94" s="197"/>
      <x:c r="J94" s="197"/>
      <x:c r="K94" s="197"/>
      <x:c r="L94" s="197"/>
      <x:c r="M94" s="197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  <x:c r="AA94" s="39"/>
      <x:c r="AB94" s="39"/>
      <x:c r="AC94" s="39"/>
      <x:c r="AD94" s="39"/>
      <x:c r="AE94" s="39"/>
      <x:c r="AF94" s="39"/>
      <x:c r="AG94" s="39"/>
    </x:row>
    <x:row r="95">
      <x:c r="A95" s="197"/>
      <x:c r="B95" s="198" t="str">
        <x:f>IFERROR(VLOOKUP(A95,'Margini Clienti'!$A:$AG,6,FALSE),0)</x:f>
      </x:c>
      <x:c r="C95" s="198" t="str">
        <x:f>IFERROR(VLOOKUP(A95,'Margini Clienti'!$A:$AG,22,FALSE),0)</x:f>
      </x:c>
      <x:c r="D95" s="197"/>
      <x:c r="E95" s="198" t="n">
        <x:f>D95-B95</x:f>
        <x:v>0</x:v>
      </x:c>
      <x:c r="F95" s="198" t="str">
        <x:f>IFERROR(VLOOKUP(A95,'Margini Clienti'!$A:$AG,23,FALSE),0)</x:f>
      </x:c>
      <x:c r="G95" s="198" t="n">
        <x:f>F95+E95</x:f>
        <x:v>0</x:v>
      </x:c>
      <x:c r="H95" s="198" t="n">
        <x:f>IFERROR(VLOOKUP(A95,'Margini Clienti'!$A:$AG,17,FALSE)+VLOOKUP(A95,'Margini Clienti'!$A:$AG,18,FALSE)+VLOOKUP(A95,'Margini Clienti'!$A:$AG,19,FALSE),0)</x:f>
        <x:v>0</x:v>
      </x:c>
      <x:c r="I95" s="197"/>
      <x:c r="J95" s="197"/>
      <x:c r="K95" s="197"/>
      <x:c r="L95" s="197"/>
      <x:c r="M95" s="197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  <x:c r="AA95" s="39"/>
      <x:c r="AB95" s="39"/>
      <x:c r="AC95" s="39"/>
      <x:c r="AD95" s="39"/>
      <x:c r="AE95" s="39"/>
      <x:c r="AF95" s="39"/>
      <x:c r="AG95" s="39"/>
    </x:row>
    <x:row r="96">
      <x:c r="A96" s="197"/>
      <x:c r="B96" s="198" t="str">
        <x:f>IFERROR(VLOOKUP(A96,'Margini Clienti'!$A:$AG,6,FALSE),0)</x:f>
      </x:c>
      <x:c r="C96" s="198" t="str">
        <x:f>IFERROR(VLOOKUP(A96,'Margini Clienti'!$A:$AG,22,FALSE),0)</x:f>
      </x:c>
      <x:c r="D96" s="197"/>
      <x:c r="E96" s="198" t="n">
        <x:f>D96-B96</x:f>
        <x:v>0</x:v>
      </x:c>
      <x:c r="F96" s="198" t="str">
        <x:f>IFERROR(VLOOKUP(A96,'Margini Clienti'!$A:$AG,23,FALSE),0)</x:f>
      </x:c>
      <x:c r="G96" s="198" t="n">
        <x:f>F96+E96</x:f>
        <x:v>0</x:v>
      </x:c>
      <x:c r="H96" s="198" t="n">
        <x:f>IFERROR(VLOOKUP(A96,'Margini Clienti'!$A:$AG,17,FALSE)+VLOOKUP(A96,'Margini Clienti'!$A:$AG,18,FALSE)+VLOOKUP(A96,'Margini Clienti'!$A:$AG,19,FALSE),0)</x:f>
        <x:v>0</x:v>
      </x:c>
      <x:c r="I96" s="197"/>
      <x:c r="J96" s="197"/>
      <x:c r="K96" s="197"/>
      <x:c r="L96" s="197"/>
      <x:c r="M96" s="197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  <x:c r="AA96" s="39"/>
      <x:c r="AB96" s="39"/>
      <x:c r="AC96" s="39"/>
      <x:c r="AD96" s="39"/>
      <x:c r="AE96" s="39"/>
      <x:c r="AF96" s="39"/>
      <x:c r="AG96" s="39"/>
    </x:row>
    <x:row r="97">
      <x:c r="A97" s="197"/>
      <x:c r="B97" s="198" t="str">
        <x:f>IFERROR(VLOOKUP(A97,'Margini Clienti'!$A:$AG,6,FALSE),0)</x:f>
      </x:c>
      <x:c r="C97" s="198" t="str">
        <x:f>IFERROR(VLOOKUP(A97,'Margini Clienti'!$A:$AG,22,FALSE),0)</x:f>
      </x:c>
      <x:c r="D97" s="197"/>
      <x:c r="E97" s="198" t="n">
        <x:f>D97-B97</x:f>
        <x:v>0</x:v>
      </x:c>
      <x:c r="F97" s="198" t="str">
        <x:f>IFERROR(VLOOKUP(A97,'Margini Clienti'!$A:$AG,23,FALSE),0)</x:f>
      </x:c>
      <x:c r="G97" s="198" t="n">
        <x:f>F97+E97</x:f>
        <x:v>0</x:v>
      </x:c>
      <x:c r="H97" s="198" t="n">
        <x:f>IFERROR(VLOOKUP(A97,'Margini Clienti'!$A:$AG,17,FALSE)+VLOOKUP(A97,'Margini Clienti'!$A:$AG,18,FALSE)+VLOOKUP(A97,'Margini Clienti'!$A:$AG,19,FALSE),0)</x:f>
        <x:v>0</x:v>
      </x:c>
      <x:c r="I97" s="197"/>
      <x:c r="J97" s="197"/>
      <x:c r="K97" s="197"/>
      <x:c r="L97" s="197"/>
      <x:c r="M97" s="197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  <x:c r="AA97" s="39"/>
      <x:c r="AB97" s="39"/>
      <x:c r="AC97" s="39"/>
      <x:c r="AD97" s="39"/>
      <x:c r="AE97" s="39"/>
      <x:c r="AF97" s="39"/>
      <x:c r="AG97" s="39"/>
    </x:row>
    <x:row r="98">
      <x:c r="A98" s="197"/>
      <x:c r="B98" s="198" t="str">
        <x:f>IFERROR(VLOOKUP(A98,'Margini Clienti'!$A:$AG,6,FALSE),0)</x:f>
      </x:c>
      <x:c r="C98" s="198" t="str">
        <x:f>IFERROR(VLOOKUP(A98,'Margini Clienti'!$A:$AG,22,FALSE),0)</x:f>
      </x:c>
      <x:c r="D98" s="197"/>
      <x:c r="E98" s="198" t="n">
        <x:f>D98-B98</x:f>
        <x:v>0</x:v>
      </x:c>
      <x:c r="F98" s="198" t="str">
        <x:f>IFERROR(VLOOKUP(A98,'Margini Clienti'!$A:$AG,23,FALSE),0)</x:f>
      </x:c>
      <x:c r="G98" s="198" t="n">
        <x:f>F98+E98</x:f>
        <x:v>0</x:v>
      </x:c>
      <x:c r="H98" s="198" t="n">
        <x:f>IFERROR(VLOOKUP(A98,'Margini Clienti'!$A:$AG,17,FALSE)+VLOOKUP(A98,'Margini Clienti'!$A:$AG,18,FALSE)+VLOOKUP(A98,'Margini Clienti'!$A:$AG,19,FALSE),0)</x:f>
        <x:v>0</x:v>
      </x:c>
      <x:c r="I98" s="197"/>
      <x:c r="J98" s="197"/>
      <x:c r="K98" s="197"/>
      <x:c r="L98" s="197"/>
      <x:c r="M98" s="197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  <x:c r="AA98" s="39"/>
      <x:c r="AB98" s="39"/>
      <x:c r="AC98" s="39"/>
      <x:c r="AD98" s="39"/>
      <x:c r="AE98" s="39"/>
      <x:c r="AF98" s="39"/>
      <x:c r="AG98" s="39"/>
    </x:row>
    <x:row r="99">
      <x:c r="A99" s="197"/>
      <x:c r="B99" s="198" t="str">
        <x:f>IFERROR(VLOOKUP(A99,'Margini Clienti'!$A:$AG,6,FALSE),0)</x:f>
      </x:c>
      <x:c r="C99" s="198" t="str">
        <x:f>IFERROR(VLOOKUP(A99,'Margini Clienti'!$A:$AG,22,FALSE),0)</x:f>
      </x:c>
      <x:c r="D99" s="197"/>
      <x:c r="E99" s="198" t="n">
        <x:f>D99-B99</x:f>
        <x:v>0</x:v>
      </x:c>
      <x:c r="F99" s="198" t="str">
        <x:f>IFERROR(VLOOKUP(A99,'Margini Clienti'!$A:$AG,23,FALSE),0)</x:f>
      </x:c>
      <x:c r="G99" s="198" t="n">
        <x:f>F99+E99</x:f>
        <x:v>0</x:v>
      </x:c>
      <x:c r="H99" s="198" t="n">
        <x:f>IFERROR(VLOOKUP(A99,'Margini Clienti'!$A:$AG,17,FALSE)+VLOOKUP(A99,'Margini Clienti'!$A:$AG,18,FALSE)+VLOOKUP(A99,'Margini Clienti'!$A:$AG,19,FALSE),0)</x:f>
        <x:v>0</x:v>
      </x:c>
      <x:c r="I99" s="197"/>
      <x:c r="J99" s="197"/>
      <x:c r="K99" s="197"/>
      <x:c r="L99" s="197"/>
      <x:c r="M99" s="197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  <x:c r="AA99" s="39"/>
      <x:c r="AB99" s="39"/>
      <x:c r="AC99" s="39"/>
      <x:c r="AD99" s="39"/>
      <x:c r="AE99" s="39"/>
      <x:c r="AF99" s="39"/>
      <x:c r="AG99" s="39"/>
    </x:row>
    <x:row r="100">
      <x:c r="A100" s="197"/>
      <x:c r="B100" s="198" t="str">
        <x:f>IFERROR(VLOOKUP(A100,'Margini Clienti'!$A:$AG,6,FALSE),0)</x:f>
      </x:c>
      <x:c r="C100" s="198" t="str">
        <x:f>IFERROR(VLOOKUP(A100,'Margini Clienti'!$A:$AG,22,FALSE),0)</x:f>
      </x:c>
      <x:c r="D100" s="197"/>
      <x:c r="E100" s="198" t="n">
        <x:f>D100-B100</x:f>
        <x:v>0</x:v>
      </x:c>
      <x:c r="F100" s="198" t="str">
        <x:f>IFERROR(VLOOKUP(A100,'Margini Clienti'!$A:$AG,23,FALSE),0)</x:f>
      </x:c>
      <x:c r="G100" s="198" t="n">
        <x:f>F100+E100</x:f>
        <x:v>0</x:v>
      </x:c>
      <x:c r="H100" s="198" t="n">
        <x:f>IFERROR(VLOOKUP(A100,'Margini Clienti'!$A:$AG,17,FALSE)+VLOOKUP(A100,'Margini Clienti'!$A:$AG,18,FALSE)+VLOOKUP(A100,'Margini Clienti'!$A:$AG,19,FALSE),0)</x:f>
        <x:v>0</x:v>
      </x:c>
      <x:c r="I100" s="197"/>
      <x:c r="J100" s="197"/>
      <x:c r="K100" s="197"/>
      <x:c r="L100" s="197"/>
      <x:c r="M100" s="197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  <x:c r="AA100" s="39"/>
      <x:c r="AB100" s="39"/>
      <x:c r="AC100" s="39"/>
      <x:c r="AD100" s="39"/>
      <x:c r="AE100" s="39"/>
      <x:c r="AF100" s="39"/>
      <x:c r="AG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  <x:c r="AA101" s="39"/>
      <x:c r="AB101" s="39"/>
      <x:c r="AC101" s="39"/>
      <x:c r="AD101" s="39"/>
      <x:c r="AE101" s="39"/>
      <x:c r="AF101" s="39"/>
      <x:c r="AG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  <x:c r="AA102" s="39"/>
      <x:c r="AB102" s="39"/>
      <x:c r="AC102" s="39"/>
      <x:c r="AD102" s="39"/>
      <x:c r="AE102" s="39"/>
      <x:c r="AF102" s="39"/>
      <x:c r="AG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  <x:c r="AA103" s="39"/>
      <x:c r="AB103" s="39"/>
      <x:c r="AC103" s="39"/>
      <x:c r="AD103" s="39"/>
      <x:c r="AE103" s="39"/>
      <x:c r="AF103" s="39"/>
      <x:c r="AG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  <x:c r="AA104" s="39"/>
      <x:c r="AB104" s="39"/>
      <x:c r="AC104" s="39"/>
      <x:c r="AD104" s="39"/>
      <x:c r="AE104" s="39"/>
      <x:c r="AF104" s="39"/>
      <x:c r="AG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  <x:c r="AA105" s="39"/>
      <x:c r="AB105" s="39"/>
      <x:c r="AC105" s="39"/>
      <x:c r="AD105" s="39"/>
      <x:c r="AE105" s="39"/>
      <x:c r="AF105" s="39"/>
      <x:c r="AG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  <x:c r="AA106" s="39"/>
      <x:c r="AB106" s="39"/>
      <x:c r="AC106" s="39"/>
      <x:c r="AD106" s="39"/>
      <x:c r="AE106" s="39"/>
      <x:c r="AF106" s="39"/>
      <x:c r="AG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  <x:c r="AA107" s="39"/>
      <x:c r="AB107" s="39"/>
      <x:c r="AC107" s="39"/>
      <x:c r="AD107" s="39"/>
      <x:c r="AE107" s="39"/>
      <x:c r="AF107" s="39"/>
      <x:c r="AG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  <x:c r="AA108" s="39"/>
      <x:c r="AB108" s="39"/>
      <x:c r="AC108" s="39"/>
      <x:c r="AD108" s="39"/>
      <x:c r="AE108" s="39"/>
      <x:c r="AF108" s="39"/>
      <x:c r="AG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  <x:c r="AA109" s="39"/>
      <x:c r="AB109" s="39"/>
      <x:c r="AC109" s="39"/>
      <x:c r="AD109" s="39"/>
      <x:c r="AE109" s="39"/>
      <x:c r="AF109" s="39"/>
      <x:c r="AG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  <x:c r="AA110" s="39"/>
      <x:c r="AB110" s="39"/>
      <x:c r="AC110" s="39"/>
      <x:c r="AD110" s="39"/>
      <x:c r="AE110" s="39"/>
      <x:c r="AF110" s="39"/>
      <x:c r="AG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  <x:c r="AA111" s="39"/>
      <x:c r="AB111" s="39"/>
      <x:c r="AC111" s="39"/>
      <x:c r="AD111" s="39"/>
      <x:c r="AE111" s="39"/>
      <x:c r="AF111" s="39"/>
      <x:c r="AG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  <x:c r="AA112" s="39"/>
      <x:c r="AB112" s="39"/>
      <x:c r="AC112" s="39"/>
      <x:c r="AD112" s="39"/>
      <x:c r="AE112" s="39"/>
      <x:c r="AF112" s="39"/>
      <x:c r="AG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  <x:c r="AA113" s="39"/>
      <x:c r="AB113" s="39"/>
      <x:c r="AC113" s="39"/>
      <x:c r="AD113" s="39"/>
      <x:c r="AE113" s="39"/>
      <x:c r="AF113" s="39"/>
      <x:c r="AG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  <x:c r="AA114" s="39"/>
      <x:c r="AB114" s="39"/>
      <x:c r="AC114" s="39"/>
      <x:c r="AD114" s="39"/>
      <x:c r="AE114" s="39"/>
      <x:c r="AF114" s="39"/>
      <x:c r="AG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  <x:c r="AA115" s="39"/>
      <x:c r="AB115" s="39"/>
      <x:c r="AC115" s="39"/>
      <x:c r="AD115" s="39"/>
      <x:c r="AE115" s="39"/>
      <x:c r="AF115" s="39"/>
      <x:c r="AG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  <x:c r="AA116" s="39"/>
      <x:c r="AB116" s="39"/>
      <x:c r="AC116" s="39"/>
      <x:c r="AD116" s="39"/>
      <x:c r="AE116" s="39"/>
      <x:c r="AF116" s="39"/>
      <x:c r="AG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  <x:c r="AA117" s="39"/>
      <x:c r="AB117" s="39"/>
      <x:c r="AC117" s="39"/>
      <x:c r="AD117" s="39"/>
      <x:c r="AE117" s="39"/>
      <x:c r="AF117" s="39"/>
      <x:c r="AG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  <x:c r="AA118" s="39"/>
      <x:c r="AB118" s="39"/>
      <x:c r="AC118" s="39"/>
      <x:c r="AD118" s="39"/>
      <x:c r="AE118" s="39"/>
      <x:c r="AF118" s="39"/>
      <x:c r="AG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  <x:c r="AA119" s="39"/>
      <x:c r="AB119" s="39"/>
      <x:c r="AC119" s="39"/>
      <x:c r="AD119" s="39"/>
      <x:c r="AE119" s="39"/>
      <x:c r="AF119" s="39"/>
      <x:c r="AG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  <x:c r="AA120" s="39"/>
      <x:c r="AB120" s="39"/>
      <x:c r="AC120" s="39"/>
      <x:c r="AD120" s="39"/>
      <x:c r="AE120" s="39"/>
      <x:c r="AF120" s="39"/>
      <x:c r="AG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  <x:c r="AA121" s="39"/>
      <x:c r="AB121" s="39"/>
      <x:c r="AC121" s="39"/>
      <x:c r="AD121" s="39"/>
      <x:c r="AE121" s="39"/>
      <x:c r="AF121" s="39"/>
      <x:c r="AG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  <x:c r="AA122" s="39"/>
      <x:c r="AB122" s="39"/>
      <x:c r="AC122" s="39"/>
      <x:c r="AD122" s="39"/>
      <x:c r="AE122" s="39"/>
      <x:c r="AF122" s="39"/>
      <x:c r="AG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  <x:c r="AA123" s="39"/>
      <x:c r="AB123" s="39"/>
      <x:c r="AC123" s="39"/>
      <x:c r="AD123" s="39"/>
      <x:c r="AE123" s="39"/>
      <x:c r="AF123" s="39"/>
      <x:c r="AG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  <x:c r="AA124" s="39"/>
      <x:c r="AB124" s="39"/>
      <x:c r="AC124" s="39"/>
      <x:c r="AD124" s="39"/>
      <x:c r="AE124" s="39"/>
      <x:c r="AF124" s="39"/>
      <x:c r="AG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  <x:c r="AA125" s="39"/>
      <x:c r="AB125" s="39"/>
      <x:c r="AC125" s="39"/>
      <x:c r="AD125" s="39"/>
      <x:c r="AE125" s="39"/>
      <x:c r="AF125" s="39"/>
      <x:c r="AG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  <x:c r="AA126" s="39"/>
      <x:c r="AB126" s="39"/>
      <x:c r="AC126" s="39"/>
      <x:c r="AD126" s="39"/>
      <x:c r="AE126" s="39"/>
      <x:c r="AF126" s="39"/>
      <x:c r="AG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  <x:c r="AA127" s="39"/>
      <x:c r="AB127" s="39"/>
      <x:c r="AC127" s="39"/>
      <x:c r="AD127" s="39"/>
      <x:c r="AE127" s="39"/>
      <x:c r="AF127" s="39"/>
      <x:c r="AG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  <x:c r="AA128" s="39"/>
      <x:c r="AB128" s="39"/>
      <x:c r="AC128" s="39"/>
      <x:c r="AD128" s="39"/>
      <x:c r="AE128" s="39"/>
      <x:c r="AF128" s="39"/>
      <x:c r="AG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  <x:c r="AA129" s="39"/>
      <x:c r="AB129" s="39"/>
      <x:c r="AC129" s="39"/>
      <x:c r="AD129" s="39"/>
      <x:c r="AE129" s="39"/>
      <x:c r="AF129" s="39"/>
      <x:c r="AG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  <x:c r="AA130" s="39"/>
      <x:c r="AB130" s="39"/>
      <x:c r="AC130" s="39"/>
      <x:c r="AD130" s="39"/>
      <x:c r="AE130" s="39"/>
      <x:c r="AF130" s="39"/>
      <x:c r="AG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  <x:c r="AA131" s="39"/>
      <x:c r="AB131" s="39"/>
      <x:c r="AC131" s="39"/>
      <x:c r="AD131" s="39"/>
      <x:c r="AE131" s="39"/>
      <x:c r="AF131" s="39"/>
      <x:c r="AG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  <x:c r="AA132" s="39"/>
      <x:c r="AB132" s="39"/>
      <x:c r="AC132" s="39"/>
      <x:c r="AD132" s="39"/>
      <x:c r="AE132" s="39"/>
      <x:c r="AF132" s="39"/>
      <x:c r="AG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  <x:c r="AA133" s="39"/>
      <x:c r="AB133" s="39"/>
      <x:c r="AC133" s="39"/>
      <x:c r="AD133" s="39"/>
      <x:c r="AE133" s="39"/>
      <x:c r="AF133" s="39"/>
      <x:c r="AG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  <x:c r="AA134" s="39"/>
      <x:c r="AB134" s="39"/>
      <x:c r="AC134" s="39"/>
      <x:c r="AD134" s="39"/>
      <x:c r="AE134" s="39"/>
      <x:c r="AF134" s="39"/>
      <x:c r="AG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  <x:c r="AA135" s="39"/>
      <x:c r="AB135" s="39"/>
      <x:c r="AC135" s="39"/>
      <x:c r="AD135" s="39"/>
      <x:c r="AE135" s="39"/>
      <x:c r="AF135" s="39"/>
      <x:c r="AG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  <x:c r="AA136" s="39"/>
      <x:c r="AB136" s="39"/>
      <x:c r="AC136" s="39"/>
      <x:c r="AD136" s="39"/>
      <x:c r="AE136" s="39"/>
      <x:c r="AF136" s="39"/>
      <x:c r="AG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  <x:c r="AA137" s="39"/>
      <x:c r="AB137" s="39"/>
      <x:c r="AC137" s="39"/>
      <x:c r="AD137" s="39"/>
      <x:c r="AE137" s="39"/>
      <x:c r="AF137" s="39"/>
      <x:c r="AG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  <x:c r="AA138" s="39"/>
      <x:c r="AB138" s="39"/>
      <x:c r="AC138" s="39"/>
      <x:c r="AD138" s="39"/>
      <x:c r="AE138" s="39"/>
      <x:c r="AF138" s="39"/>
      <x:c r="AG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  <x:c r="AA139" s="39"/>
      <x:c r="AB139" s="39"/>
      <x:c r="AC139" s="39"/>
      <x:c r="AD139" s="39"/>
      <x:c r="AE139" s="39"/>
      <x:c r="AF139" s="39"/>
      <x:c r="AG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  <x:c r="AA140" s="39"/>
      <x:c r="AB140" s="39"/>
      <x:c r="AC140" s="39"/>
      <x:c r="AD140" s="39"/>
      <x:c r="AE140" s="39"/>
      <x:c r="AF140" s="39"/>
      <x:c r="AG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  <x:c r="AA141" s="39"/>
      <x:c r="AB141" s="39"/>
      <x:c r="AC141" s="39"/>
      <x:c r="AD141" s="39"/>
      <x:c r="AE141" s="39"/>
      <x:c r="AF141" s="39"/>
      <x:c r="AG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  <x:c r="AA142" s="39"/>
      <x:c r="AB142" s="39"/>
      <x:c r="AC142" s="39"/>
      <x:c r="AD142" s="39"/>
      <x:c r="AE142" s="39"/>
      <x:c r="AF142" s="39"/>
      <x:c r="AG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  <x:c r="AA143" s="39"/>
      <x:c r="AB143" s="39"/>
      <x:c r="AC143" s="39"/>
      <x:c r="AD143" s="39"/>
      <x:c r="AE143" s="39"/>
      <x:c r="AF143" s="39"/>
      <x:c r="AG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  <x:c r="AA144" s="39"/>
      <x:c r="AB144" s="39"/>
      <x:c r="AC144" s="39"/>
      <x:c r="AD144" s="39"/>
      <x:c r="AE144" s="39"/>
      <x:c r="AF144" s="39"/>
      <x:c r="AG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  <x:c r="AA145" s="39"/>
      <x:c r="AB145" s="39"/>
      <x:c r="AC145" s="39"/>
      <x:c r="AD145" s="39"/>
      <x:c r="AE145" s="39"/>
      <x:c r="AF145" s="39"/>
      <x:c r="AG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  <x:c r="AA146" s="39"/>
      <x:c r="AB146" s="39"/>
      <x:c r="AC146" s="39"/>
      <x:c r="AD146" s="39"/>
      <x:c r="AE146" s="39"/>
      <x:c r="AF146" s="39"/>
      <x:c r="AG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  <x:c r="AA147" s="39"/>
      <x:c r="AB147" s="39"/>
      <x:c r="AC147" s="39"/>
      <x:c r="AD147" s="39"/>
      <x:c r="AE147" s="39"/>
      <x:c r="AF147" s="39"/>
      <x:c r="AG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  <x:c r="AA148" s="39"/>
      <x:c r="AB148" s="39"/>
      <x:c r="AC148" s="39"/>
      <x:c r="AD148" s="39"/>
      <x:c r="AE148" s="39"/>
      <x:c r="AF148" s="39"/>
      <x:c r="AG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  <x:c r="AA149" s="39"/>
      <x:c r="AB149" s="39"/>
      <x:c r="AC149" s="39"/>
      <x:c r="AD149" s="39"/>
      <x:c r="AE149" s="39"/>
      <x:c r="AF149" s="39"/>
      <x:c r="AG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  <x:c r="AA150" s="39"/>
      <x:c r="AB150" s="39"/>
      <x:c r="AC150" s="39"/>
      <x:c r="AD150" s="39"/>
      <x:c r="AE150" s="39"/>
      <x:c r="AF150" s="39"/>
      <x:c r="AG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  <x:c r="AA151" s="39"/>
      <x:c r="AB151" s="39"/>
      <x:c r="AC151" s="39"/>
      <x:c r="AD151" s="39"/>
      <x:c r="AE151" s="39"/>
      <x:c r="AF151" s="39"/>
      <x:c r="AG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  <x:c r="AA152" s="39"/>
      <x:c r="AB152" s="39"/>
      <x:c r="AC152" s="39"/>
      <x:c r="AD152" s="39"/>
      <x:c r="AE152" s="39"/>
      <x:c r="AF152" s="39"/>
      <x:c r="AG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  <x:c r="AA153" s="39"/>
      <x:c r="AB153" s="39"/>
      <x:c r="AC153" s="39"/>
      <x:c r="AD153" s="39"/>
      <x:c r="AE153" s="39"/>
      <x:c r="AF153" s="39"/>
      <x:c r="AG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  <x:c r="AA154" s="39"/>
      <x:c r="AB154" s="39"/>
      <x:c r="AC154" s="39"/>
      <x:c r="AD154" s="39"/>
      <x:c r="AE154" s="39"/>
      <x:c r="AF154" s="39"/>
      <x:c r="AG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  <x:c r="AA155" s="39"/>
      <x:c r="AB155" s="39"/>
      <x:c r="AC155" s="39"/>
      <x:c r="AD155" s="39"/>
      <x:c r="AE155" s="39"/>
      <x:c r="AF155" s="39"/>
      <x:c r="AG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  <x:c r="AA156" s="39"/>
      <x:c r="AB156" s="39"/>
      <x:c r="AC156" s="39"/>
      <x:c r="AD156" s="39"/>
      <x:c r="AE156" s="39"/>
      <x:c r="AF156" s="39"/>
      <x:c r="AG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  <x:c r="AA157" s="39"/>
      <x:c r="AB157" s="39"/>
      <x:c r="AC157" s="39"/>
      <x:c r="AD157" s="39"/>
      <x:c r="AE157" s="39"/>
      <x:c r="AF157" s="39"/>
      <x:c r="AG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  <x:c r="AA158" s="39"/>
      <x:c r="AB158" s="39"/>
      <x:c r="AC158" s="39"/>
      <x:c r="AD158" s="39"/>
      <x:c r="AE158" s="39"/>
      <x:c r="AF158" s="39"/>
      <x:c r="AG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  <x:c r="AA159" s="39"/>
      <x:c r="AB159" s="39"/>
      <x:c r="AC159" s="39"/>
      <x:c r="AD159" s="39"/>
      <x:c r="AE159" s="39"/>
      <x:c r="AF159" s="39"/>
      <x:c r="AG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  <x:c r="AA160" s="39"/>
      <x:c r="AB160" s="39"/>
      <x:c r="AC160" s="39"/>
      <x:c r="AD160" s="39"/>
      <x:c r="AE160" s="39"/>
      <x:c r="AF160" s="39"/>
      <x:c r="AG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  <x:c r="AA161" s="39"/>
      <x:c r="AB161" s="39"/>
      <x:c r="AC161" s="39"/>
      <x:c r="AD161" s="39"/>
      <x:c r="AE161" s="39"/>
      <x:c r="AF161" s="39"/>
      <x:c r="AG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  <x:c r="AA162" s="39"/>
      <x:c r="AB162" s="39"/>
      <x:c r="AC162" s="39"/>
      <x:c r="AD162" s="39"/>
      <x:c r="AE162" s="39"/>
      <x:c r="AF162" s="39"/>
      <x:c r="AG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  <x:c r="AA163" s="39"/>
      <x:c r="AB163" s="39"/>
      <x:c r="AC163" s="39"/>
      <x:c r="AD163" s="39"/>
      <x:c r="AE163" s="39"/>
      <x:c r="AF163" s="39"/>
      <x:c r="AG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  <x:c r="AA164" s="39"/>
      <x:c r="AB164" s="39"/>
      <x:c r="AC164" s="39"/>
      <x:c r="AD164" s="39"/>
      <x:c r="AE164" s="39"/>
      <x:c r="AF164" s="39"/>
      <x:c r="AG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  <x:c r="AA165" s="39"/>
      <x:c r="AB165" s="39"/>
      <x:c r="AC165" s="39"/>
      <x:c r="AD165" s="39"/>
      <x:c r="AE165" s="39"/>
      <x:c r="AF165" s="39"/>
      <x:c r="AG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  <x:c r="AA166" s="39"/>
      <x:c r="AB166" s="39"/>
      <x:c r="AC166" s="39"/>
      <x:c r="AD166" s="39"/>
      <x:c r="AE166" s="39"/>
      <x:c r="AF166" s="39"/>
      <x:c r="AG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  <x:c r="AA167" s="39"/>
      <x:c r="AB167" s="39"/>
      <x:c r="AC167" s="39"/>
      <x:c r="AD167" s="39"/>
      <x:c r="AE167" s="39"/>
      <x:c r="AF167" s="39"/>
      <x:c r="AG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  <x:c r="AA168" s="39"/>
      <x:c r="AB168" s="39"/>
      <x:c r="AC168" s="39"/>
      <x:c r="AD168" s="39"/>
      <x:c r="AE168" s="39"/>
      <x:c r="AF168" s="39"/>
      <x:c r="AG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  <x:c r="AA169" s="39"/>
      <x:c r="AB169" s="39"/>
      <x:c r="AC169" s="39"/>
      <x:c r="AD169" s="39"/>
      <x:c r="AE169" s="39"/>
      <x:c r="AF169" s="39"/>
      <x:c r="AG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  <x:c r="AA170" s="39"/>
      <x:c r="AB170" s="39"/>
      <x:c r="AC170" s="39"/>
      <x:c r="AD170" s="39"/>
      <x:c r="AE170" s="39"/>
      <x:c r="AF170" s="39"/>
      <x:c r="AG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  <x:c r="AA171" s="39"/>
      <x:c r="AB171" s="39"/>
      <x:c r="AC171" s="39"/>
      <x:c r="AD171" s="39"/>
      <x:c r="AE171" s="39"/>
      <x:c r="AF171" s="39"/>
      <x:c r="AG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  <x:c r="AA172" s="39"/>
      <x:c r="AB172" s="39"/>
      <x:c r="AC172" s="39"/>
      <x:c r="AD172" s="39"/>
      <x:c r="AE172" s="39"/>
      <x:c r="AF172" s="39"/>
      <x:c r="AG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  <x:c r="AA173" s="39"/>
      <x:c r="AB173" s="39"/>
      <x:c r="AC173" s="39"/>
      <x:c r="AD173" s="39"/>
      <x:c r="AE173" s="39"/>
      <x:c r="AF173" s="39"/>
      <x:c r="AG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  <x:c r="AA174" s="39"/>
      <x:c r="AB174" s="39"/>
      <x:c r="AC174" s="39"/>
      <x:c r="AD174" s="39"/>
      <x:c r="AE174" s="39"/>
      <x:c r="AF174" s="39"/>
      <x:c r="AG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  <x:c r="AA175" s="39"/>
      <x:c r="AB175" s="39"/>
      <x:c r="AC175" s="39"/>
      <x:c r="AD175" s="39"/>
      <x:c r="AE175" s="39"/>
      <x:c r="AF175" s="39"/>
      <x:c r="AG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  <x:c r="AA176" s="39"/>
      <x:c r="AB176" s="39"/>
      <x:c r="AC176" s="39"/>
      <x:c r="AD176" s="39"/>
      <x:c r="AE176" s="39"/>
      <x:c r="AF176" s="39"/>
      <x:c r="AG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  <x:c r="AA177" s="39"/>
      <x:c r="AB177" s="39"/>
      <x:c r="AC177" s="39"/>
      <x:c r="AD177" s="39"/>
      <x:c r="AE177" s="39"/>
      <x:c r="AF177" s="39"/>
      <x:c r="AG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  <x:c r="AA178" s="39"/>
      <x:c r="AB178" s="39"/>
      <x:c r="AC178" s="39"/>
      <x:c r="AD178" s="39"/>
      <x:c r="AE178" s="39"/>
      <x:c r="AF178" s="39"/>
      <x:c r="AG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  <x:c r="AA179" s="39"/>
      <x:c r="AB179" s="39"/>
      <x:c r="AC179" s="39"/>
      <x:c r="AD179" s="39"/>
      <x:c r="AE179" s="39"/>
      <x:c r="AF179" s="39"/>
      <x:c r="AG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  <x:c r="AA180" s="39"/>
      <x:c r="AB180" s="39"/>
      <x:c r="AC180" s="39"/>
      <x:c r="AD180" s="39"/>
      <x:c r="AE180" s="39"/>
      <x:c r="AF180" s="39"/>
      <x:c r="AG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  <x:c r="AA181" s="39"/>
      <x:c r="AB181" s="39"/>
      <x:c r="AC181" s="39"/>
      <x:c r="AD181" s="39"/>
      <x:c r="AE181" s="39"/>
      <x:c r="AF181" s="39"/>
      <x:c r="AG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  <x:c r="AA182" s="39"/>
      <x:c r="AB182" s="39"/>
      <x:c r="AC182" s="39"/>
      <x:c r="AD182" s="39"/>
      <x:c r="AE182" s="39"/>
      <x:c r="AF182" s="39"/>
      <x:c r="AG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  <x:c r="AA183" s="39"/>
      <x:c r="AB183" s="39"/>
      <x:c r="AC183" s="39"/>
      <x:c r="AD183" s="39"/>
      <x:c r="AE183" s="39"/>
      <x:c r="AF183" s="39"/>
      <x:c r="AG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  <x:c r="AA184" s="39"/>
      <x:c r="AB184" s="39"/>
      <x:c r="AC184" s="39"/>
      <x:c r="AD184" s="39"/>
      <x:c r="AE184" s="39"/>
      <x:c r="AF184" s="39"/>
      <x:c r="AG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  <x:c r="AA185" s="39"/>
      <x:c r="AB185" s="39"/>
      <x:c r="AC185" s="39"/>
      <x:c r="AD185" s="39"/>
      <x:c r="AE185" s="39"/>
      <x:c r="AF185" s="39"/>
      <x:c r="AG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  <x:c r="AA186" s="39"/>
      <x:c r="AB186" s="39"/>
      <x:c r="AC186" s="39"/>
      <x:c r="AD186" s="39"/>
      <x:c r="AE186" s="39"/>
      <x:c r="AF186" s="39"/>
      <x:c r="AG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  <x:c r="AA187" s="39"/>
      <x:c r="AB187" s="39"/>
      <x:c r="AC187" s="39"/>
      <x:c r="AD187" s="39"/>
      <x:c r="AE187" s="39"/>
      <x:c r="AF187" s="39"/>
      <x:c r="AG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  <x:c r="AA188" s="39"/>
      <x:c r="AB188" s="39"/>
      <x:c r="AC188" s="39"/>
      <x:c r="AD188" s="39"/>
      <x:c r="AE188" s="39"/>
      <x:c r="AF188" s="39"/>
      <x:c r="AG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  <x:c r="AA189" s="39"/>
      <x:c r="AB189" s="39"/>
      <x:c r="AC189" s="39"/>
      <x:c r="AD189" s="39"/>
      <x:c r="AE189" s="39"/>
      <x:c r="AF189" s="39"/>
      <x:c r="AG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  <x:c r="AA190" s="39"/>
      <x:c r="AB190" s="39"/>
      <x:c r="AC190" s="39"/>
      <x:c r="AD190" s="39"/>
      <x:c r="AE190" s="39"/>
      <x:c r="AF190" s="39"/>
      <x:c r="AG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  <x:c r="AA191" s="39"/>
      <x:c r="AB191" s="39"/>
      <x:c r="AC191" s="39"/>
      <x:c r="AD191" s="39"/>
      <x:c r="AE191" s="39"/>
      <x:c r="AF191" s="39"/>
      <x:c r="AG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  <x:c r="AA192" s="39"/>
      <x:c r="AB192" s="39"/>
      <x:c r="AC192" s="39"/>
      <x:c r="AD192" s="39"/>
      <x:c r="AE192" s="39"/>
      <x:c r="AF192" s="39"/>
      <x:c r="AG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  <x:c r="AA193" s="39"/>
      <x:c r="AB193" s="39"/>
      <x:c r="AC193" s="39"/>
      <x:c r="AD193" s="39"/>
      <x:c r="AE193" s="39"/>
      <x:c r="AF193" s="39"/>
      <x:c r="AG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  <x:c r="AA194" s="39"/>
      <x:c r="AB194" s="39"/>
      <x:c r="AC194" s="39"/>
      <x:c r="AD194" s="39"/>
      <x:c r="AE194" s="39"/>
      <x:c r="AF194" s="39"/>
      <x:c r="AG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  <x:c r="AA195" s="39"/>
      <x:c r="AB195" s="39"/>
      <x:c r="AC195" s="39"/>
      <x:c r="AD195" s="39"/>
      <x:c r="AE195" s="39"/>
      <x:c r="AF195" s="39"/>
      <x:c r="AG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  <x:c r="AA196" s="39"/>
      <x:c r="AB196" s="39"/>
      <x:c r="AC196" s="39"/>
      <x:c r="AD196" s="39"/>
      <x:c r="AE196" s="39"/>
      <x:c r="AF196" s="39"/>
      <x:c r="AG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  <x:c r="AA197" s="39"/>
      <x:c r="AB197" s="39"/>
      <x:c r="AC197" s="39"/>
      <x:c r="AD197" s="39"/>
      <x:c r="AE197" s="39"/>
      <x:c r="AF197" s="39"/>
      <x:c r="AG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  <x:c r="AA198" s="39"/>
      <x:c r="AB198" s="39"/>
      <x:c r="AC198" s="39"/>
      <x:c r="AD198" s="39"/>
      <x:c r="AE198" s="39"/>
      <x:c r="AF198" s="39"/>
      <x:c r="AG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  <x:c r="AA199" s="39"/>
      <x:c r="AB199" s="39"/>
      <x:c r="AC199" s="39"/>
      <x:c r="AD199" s="39"/>
      <x:c r="AE199" s="39"/>
      <x:c r="AF199" s="39"/>
      <x:c r="AG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  <x:c r="AA200" s="39"/>
      <x:c r="AB200" s="39"/>
      <x:c r="AC200" s="39"/>
      <x:c r="AD200" s="39"/>
      <x:c r="AE200" s="39"/>
      <x:c r="AF200" s="39"/>
      <x:c r="AG200" s="39"/>
    </x:row>
  </x:sheetData>
  <x:mergeCells>
    <x:mergeCell ref="A1:M1"/>
  </x:mergeCells>
  <x:dataValidations count="1">
    <x:dataValidation type="list" sqref="K1">
      <x:formula1>"Da proporre,Proposto,Accettato,Rifiutato,In trattativa"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ab3b405a454e2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2" hidden="0" customWidth="1"/>
    <x:col min="4" max="4" width="48" hidden="0" customWidth="1"/>
  </x:cols>
  <x:sheetData>
    <x:row r="1" ht="28" customHeight="1">
      <x:c r="A1" s="154" t="str">
        <x:v>Impostazioni modello Metrics</x:v>
      </x:c>
      <x:c r="B1" s="155"/>
      <x:c r="C1" s="155"/>
      <x:c r="D1" s="155"/>
      <x:c r="E1" s="155"/>
      <x:c r="F1" s="155"/>
      <x:c r="G1" s="155"/>
      <x:c r="H1" s="155"/>
      <x:c r="I1" s="155"/>
      <x:c r="J1" s="155"/>
      <x:c r="K1" s="155"/>
      <x:c r="L1" s="155"/>
      <x:c r="M1" s="155"/>
      <x:c r="N1" s="155"/>
      <x:c r="O1" s="155"/>
      <x:c r="P1" s="155"/>
      <x:c r="Q1" s="155"/>
      <x:c r="R1" s="155"/>
      <x:c r="S1" s="155"/>
      <x:c r="T1" s="155"/>
      <x:c r="U1" s="155"/>
      <x:c r="V1" s="155"/>
      <x:c r="W1" s="155"/>
      <x:c r="X1" s="155"/>
      <x:c r="Y1" s="155"/>
      <x:c r="Z1" s="155"/>
    </x:row>
    <x:row r="2">
      <x:c r="B2" s="22"/>
    </x:row>
    <x:row r="3" ht="28" customHeight="1">
      <x:c r="A3" s="202" t="str">
        <x:v>Parametro</x:v>
      </x:c>
      <x:c r="B3" s="209" t="str">
        <x:v>Valore</x:v>
      </x:c>
      <x:c r="C3" s="202" t="str">
        <x:v>Unità</x:v>
      </x:c>
      <x:c r="D3" s="202" t="str">
        <x:v>Note</x:v>
      </x:c>
    </x:row>
    <x:row r="4">
      <x:c r="A4" s="214" t="str">
        <x:v>Valore orario Fabio</x:v>
      </x:c>
      <x:c r="B4" s="215" t="n">
        <x:v>40</x:v>
      </x:c>
      <x:c r="C4" s="39" t="str">
        <x:v>€/h</x:v>
      </x:c>
      <x:c r="D4" s="39" t="str">
        <x:v>Usato per ore interne e vendita</x:v>
      </x:c>
    </x:row>
    <x:row r="5">
      <x:c r="A5" s="214" t="str">
        <x:v>Valore orario Frego</x:v>
      </x:c>
      <x:c r="B5" s="216" t="n">
        <x:v>40</x:v>
      </x:c>
      <x:c r="C5" s="39" t="str">
        <x:v>€/h</x:v>
      </x:c>
      <x:c r="D5" s="39" t="str">
        <x:v>Usato per ore interne</x:v>
      </x:c>
    </x:row>
    <x:row r="6">
      <x:c r="A6" s="214" t="str">
        <x:v>Valore orario Jessica</x:v>
      </x:c>
      <x:c r="B6" s="216" t="n">
        <x:v>0</x:v>
      </x:c>
      <x:c r="C6" s="39" t="str">
        <x:v>€/h</x:v>
      </x:c>
      <x:c r="D6" s="39" t="str">
        <x:v>Jessica gestita a costo fisso/extra, non oraria</x:v>
      </x:c>
    </x:row>
    <x:row r="7">
      <x:c r="A7" s="214" t="str">
        <x:v>Coeff. forfettario</x:v>
      </x:c>
      <x:c r="B7" s="216" t="n">
        <x:v>0.78</x:v>
      </x:c>
      <x:c r="C7" s="39" t="str">
        <x:v>%</x:v>
      </x:c>
      <x:c r="D7" s="39" t="str">
        <x:v>Modificabile</x:v>
      </x:c>
    </x:row>
    <x:row r="8">
      <x:c r="A8" s="214" t="str">
        <x:v>Aliquota INPS</x:v>
      </x:c>
      <x:c r="B8" s="216" t="n">
        <x:v>0.2607</x:v>
      </x:c>
      <x:c r="C8" s="39" t="str">
        <x:v>%</x:v>
      </x:c>
      <x:c r="D8" s="39" t="str">
        <x:v>Modificabile</x:v>
      </x:c>
    </x:row>
    <x:row r="9">
      <x:c r="A9" s="214" t="str">
        <x:v>Aliquota imposta</x:v>
      </x:c>
      <x:c r="B9" s="215" t="n">
        <x:v>0.05</x:v>
      </x:c>
      <x:c r="C9" s="39" t="str">
        <x:v>%</x:v>
      </x:c>
      <x:c r="D9" s="39" t="str">
        <x:v>Modificabile</x:v>
      </x:c>
    </x:row>
    <x:row r="10">
      <x:c r="A10" s="214" t="str">
        <x:v>Margine target standard</x:v>
      </x:c>
      <x:c r="B10" s="217" t="n">
        <x:v>0.5</x:v>
      </x:c>
      <x:c r="C10" s="39" t="str">
        <x:v>%</x:v>
      </x:c>
      <x:c r="D10" s="39" t="str">
        <x:v>Modificabile per cliente in Margini</x:v>
      </x:c>
    </x:row>
    <x:row r="11">
      <x:c r="A11" s="214" t="str">
        <x:v>Bonus Jessica acquisizione</x:v>
      </x:c>
      <x:c r="B11" s="217" t="n">
        <x:v>50</x:v>
      </x:c>
      <x:c r="C11" s="39" t="str">
        <x:v>€/cliente chiuso</x:v>
      </x:c>
      <x:c r="D11" s="39" t="str">
        <x:v>Per acquisizione interna Metrics</x:v>
      </x:c>
    </x:row>
    <x:row r="12">
      <x:c r="A12" s="214" t="str">
        <x:v>Capacità Fabio</x:v>
      </x:c>
      <x:c r="B12" s="217" t="n">
        <x:v>100</x:v>
      </x:c>
      <x:c r="C12" s="39" t="str">
        <x:v>ore/mese</x:v>
      </x:c>
      <x:c r="D12" s="39" t="str">
        <x:v>Soglia modificabile</x:v>
      </x:c>
    </x:row>
    <x:row r="13">
      <x:c r="A13" s="214" t="str">
        <x:v>Capacità Frego</x:v>
      </x:c>
      <x:c r="B13" s="197" t="n">
        <x:v>60</x:v>
      </x:c>
      <x:c r="C13" s="39" t="str">
        <x:v>ore/mese</x:v>
      </x:c>
      <x:c r="D13" s="39" t="str">
        <x:v>Soglia modificabile</x:v>
      </x:c>
    </x:row>
    <x:row r="14">
      <x:c r="A14" s="214" t="str">
        <x:v>Capacità Jessica</x:v>
      </x:c>
      <x:c r="B14" s="197" t="n">
        <x:v>40</x:v>
      </x:c>
      <x:c r="C14" s="39" t="str">
        <x:v>ore/mese</x:v>
      </x:c>
      <x:c r="D14" s="39" t="str">
        <x:v>Soglia modificabile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6.7400016784668" hidden="0" customWidth="1"/>
    <x:col min="2" max="2" width="13.1899995803833" hidden="0" customWidth="1"/>
    <x:col min="3" max="3" width="16.690000534057617" hidden="0" customWidth="1"/>
    <x:col min="4" max="4" width="6.059999942779541" hidden="0" customWidth="1"/>
    <x:col min="5" max="5" width="20.31999969482422" hidden="0" customWidth="1"/>
    <x:col min="6" max="6" width="12.109999656677246" hidden="0" customWidth="1"/>
    <x:col min="7" max="7" width="12.789999961853027" hidden="0" customWidth="1"/>
    <x:col min="8" max="8" width="18.56999969482422" hidden="0" customWidth="1"/>
    <x:col min="9" max="9" width="17.899999618530273" hidden="0" customWidth="1"/>
    <x:col min="10" max="10" width="12.109999656677246" hidden="0" customWidth="1"/>
    <x:col min="11" max="11" width="9.5600004196167" hidden="0" customWidth="1"/>
  </x:cols>
  <x:sheetData>
    <x:row r="1" ht="28" customHeight="1">
      <x:c r="A1" s="154" t="str">
        <x:v>Liste valori per menu a tendina</x:v>
      </x:c>
      <x:c r="B1" s="155"/>
      <x:c r="C1" s="155"/>
      <x:c r="D1" s="155"/>
      <x:c r="E1" s="155"/>
      <x:c r="F1" s="155"/>
      <x:c r="G1" s="155"/>
      <x:c r="H1" s="155"/>
      <x:c r="I1" s="155"/>
      <x:c r="J1" s="155"/>
      <x:c r="K1" s="155"/>
      <x:c r="L1" s="155"/>
      <x:c r="M1" s="155"/>
      <x:c r="N1" s="155"/>
      <x:c r="O1" s="155"/>
      <x:c r="P1" s="155"/>
      <x:c r="Q1" s="155"/>
      <x:c r="R1" s="155"/>
      <x:c r="S1" s="155"/>
      <x:c r="T1" s="155"/>
      <x:c r="U1" s="155"/>
      <x:c r="V1" s="155"/>
      <x:c r="W1" s="155"/>
      <x:c r="X1" s="155"/>
      <x:c r="Y1" s="155"/>
      <x:c r="Z1" s="155"/>
    </x:row>
    <x:row r="3" ht="28" customHeight="1">
      <x:c r="A3" s="14" t="str">
        <x:v>Responsabile</x:v>
      </x:c>
      <x:c r="B3" s="14" t="str">
        <x:v>Fase operativa</x:v>
      </x:c>
      <x:c r="C3" s="14" t="str">
        <x:v>Tipo attività</x:v>
      </x:c>
      <x:c r="D3" s="14" t="str">
        <x:v>Priorità</x:v>
      </x:c>
      <x:c r="E3" s="14" t="str">
        <x:v>Delegabilità</x:v>
      </x:c>
      <x:c r="F3" s="14" t="str">
        <x:v>Inclusa canone</x:v>
      </x:c>
      <x:c r="G3" s="14" t="str">
        <x:v>Stato cliente</x:v>
      </x:c>
      <x:c r="H3" s="14" t="str">
        <x:v>Tipo cliente</x:v>
      </x:c>
      <x:c r="I3" s="14" t="str">
        <x:v>Motivo strategico</x:v>
      </x:c>
      <x:c r="J3" s="14" t="str">
        <x:v>Incide margine</x:v>
      </x:c>
      <x:c r="K3" s="14" t="str">
        <x:v>Frequenza</x:v>
      </x:c>
    </x:row>
    <x:row r="4">
      <x:c r="A4" t="str">
        <x:v>Fabio</x:v>
      </x:c>
      <x:c r="B4" t="str">
        <x:v>Acquisizione</x:v>
      </x:c>
      <x:c r="C4" t="str">
        <x:v>Acquisizione Metrics</x:v>
      </x:c>
      <x:c r="D4" t="str">
        <x:v>Alta</x:v>
      </x:c>
      <x:c r="E4" t="str">
        <x:v>Non delegabile</x:v>
      </x:c>
      <x:c r="F4" t="str">
        <x:v>Sì</x:v>
      </x:c>
      <x:c r="G4" t="str">
        <x:v>Lead Metrics</x:v>
      </x:c>
      <x:c r="H4" t="str">
        <x:v>Standard</x:v>
      </x:c>
      <x:c r="I4" t="str">
        <x:v>Caso studio</x:v>
      </x:c>
      <x:c r="J4" t="str">
        <x:v>Sì</x:v>
      </x:c>
      <x:c r="K4" t="str">
        <x:v>Una tantum</x:v>
      </x:c>
    </x:row>
    <x:row r="5">
      <x:c r="A5" t="str">
        <x:v>Frego</x:v>
      </x:c>
      <x:c r="B5" t="str">
        <x:v>Vendita</x:v>
      </x:c>
      <x:c r="C5" t="str">
        <x:v>Vendita Metrics</x:v>
      </x:c>
      <x:c r="D5" t="str">
        <x:v>Media</x:v>
      </x:c>
      <x:c r="E5" t="str">
        <x:v>Delegabile subito</x:v>
      </x:c>
      <x:c r="F5" t="str">
        <x:v>No, extra</x:v>
      </x:c>
      <x:c r="G5" t="str">
        <x:v>In trattativa</x:v>
      </x:c>
      <x:c r="H5" t="str">
        <x:v>Strategico / caso studio</x:v>
      </x:c>
      <x:c r="I5" t="str">
        <x:v>Relazione importante</x:v>
      </x:c>
      <x:c r="J5" t="str">
        <x:v>No</x:v>
      </x:c>
      <x:c r="K5" t="str">
        <x:v>Giornaliera</x:v>
      </x:c>
    </x:row>
    <x:row r="6">
      <x:c r="A6" t="str">
        <x:v>Jessica</x:v>
      </x:c>
      <x:c r="B6" t="str">
        <x:v>Onboarding</x:v>
      </x:c>
      <x:c r="C6" t="str">
        <x:v>Project management</x:v>
      </x:c>
      <x:c r="D6" t="str">
        <x:v>Bassa</x:v>
      </x:c>
      <x:c r="E6" t="str">
        <x:v>Delegabile con procedura</x:v>
      </x:c>
      <x:c r="F6" t="str">
        <x:v>Da valutare</x:v>
      </x:c>
      <x:c r="G6" t="str">
        <x:v>Proposta inviata</x:v>
      </x:c>
      <x:c r="H6" t="str">
        <x:v>Test</x:v>
      </x:c>
      <x:c r="I6" t="str">
        <x:v>Accesso a nuovi clienti</x:v>
      </x:c>
      <x:c r="J6" t="str">
        <x:v>Da valutare</x:v>
      </x:c>
      <x:c r="K6" t="str">
        <x:v>Settimanale</x:v>
      </x:c>
    </x:row>
    <x:row r="7">
      <x:c r="A7" t="str">
        <x:v>Metrics</x:v>
      </x:c>
      <x:c r="B7" t="str">
        <x:v>Setup iniziale</x:v>
      </x:c>
      <x:c r="C7" t="str">
        <x:v>Strategia</x:v>
      </x:c>
      <x:c r="E7" t="str">
        <x:v>Delegabile in futuro</x:v>
      </x:c>
      <x:c r="G7" t="str">
        <x:v>Attivo</x:v>
      </x:c>
      <x:c r="H7" t="str">
        <x:v>Partnership</x:v>
      </x:c>
      <x:c r="I7" t="str">
        <x:v>Validazione servizio</x:v>
      </x:c>
      <x:c r="K7" t="str">
        <x:v>Mensile</x:v>
      </x:c>
    </x:row>
    <x:row r="8">
      <x:c r="A8" t="str">
        <x:v>Cliente</x:v>
      </x:c>
      <x:c r="B8" t="str">
        <x:v>Delivery mensile</x:v>
      </x:c>
      <x:c r="C8" t="str">
        <x:v>Setup tecnico</x:v>
      </x:c>
      <x:c r="G8" t="str">
        <x:v>In pausa</x:v>
      </x:c>
      <x:c r="H8" t="str">
        <x:v>Interno Metrics</x:v>
      </x:c>
      <x:c r="I8" t="str">
        <x:v>Partnership futura</x:v>
      </x:c>
      <x:c r="K8" t="str">
        <x:v>Variabile</x:v>
      </x:c>
    </x:row>
    <x:row r="9">
      <x:c r="A9" t="str">
        <x:v>N/D</x:v>
      </x:c>
      <x:c r="B9" t="str">
        <x:v>Report</x:v>
      </x:c>
      <x:c r="C9" t="str">
        <x:v>Delivery ricorrente</x:v>
      </x:c>
      <x:c r="G9" t="str">
        <x:v>Da rinnovare</x:v>
      </x:c>
      <x:c r="I9" t="str">
        <x:v>Portfolio Metrics</x:v>
      </x:c>
      <x:c r="K9" t="str">
        <x:v>Annuale</x:v>
      </x:c>
    </x:row>
    <x:row r="10">
      <x:c r="B10" t="str">
        <x:v>Ottimizzazione</x:v>
      </x:c>
      <x:c r="C10" t="str">
        <x:v>Contenuti</x:v>
      </x:c>
      <x:c r="G10" t="str">
        <x:v>Rinnovato</x:v>
      </x:c>
      <x:c r="I10" t="str">
        <x:v>Altro</x:v>
      </x:c>
      <x:c r="K10" t="str">
        <x:v>Lifetime</x:v>
      </x:c>
    </x:row>
    <x:row r="11">
      <x:c r="B11" t="str">
        <x:v>Rinnovo</x:v>
      </x:c>
      <x:c r="C11" t="str">
        <x:v>Ads</x:v>
      </x:c>
      <x:c r="G11" t="str">
        <x:v>Perso</x:v>
      </x:c>
    </x:row>
    <x:row r="12">
      <x:c r="B12" t="str">
        <x:v>Upsell</x:v>
      </x:c>
      <x:c r="C12" t="str">
        <x:v>LinkedIn</x:v>
      </x:c>
      <x:c r="G12" t="str">
        <x:v>Chiuso</x:v>
      </x:c>
    </x:row>
    <x:row r="13">
      <x:c r="C13" t="str">
        <x:v>Email</x:v>
      </x:c>
    </x:row>
    <x:row r="14">
      <x:c r="C14" t="str">
        <x:v>CRM</x:v>
      </x:c>
    </x:row>
    <x:row r="15">
      <x:c r="C15" t="str">
        <x:v>Qualifica</x:v>
      </x:c>
    </x:row>
    <x:row r="16">
      <x:c r="C16" t="str">
        <x:v>Follow-up</x:v>
      </x:c>
    </x:row>
    <x:row r="17">
      <x:c r="C17" t="str">
        <x:v>Report</x:v>
      </x:c>
    </x:row>
    <x:row r="18">
      <x:c r="C18" t="str">
        <x:v>Rinnovo / Upsell</x:v>
      </x:c>
    </x:row>
    <x:row r="19">
      <x:c r="C19" t="str">
        <x:v>Extra custom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32" hidden="0" customWidth="1"/>
    <x:col min="4" max="4" width="3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242" t="str">
        <x:v>LEGENDA E ISTRUZIONI — VERSIONE GOOGLE SHEETS SAFE</x:v>
      </x:c>
      <x:c r="B1" s="242" t="str"/>
      <x:c r="C1" s="242" t="str"/>
      <x:c r="D1" s="242" t="str"/>
      <x:c r="E1" s="195" t="str"/>
      <x:c r="F1" s="195" t="str"/>
      <x:c r="G1" s="195" t="str"/>
      <x:c r="H1" s="195" t="str"/>
    </x:row>
    <x:row r="2">
      <x:c r="A2" s="39" t="str"/>
      <x:c r="B2" s="39" t="str"/>
      <x:c r="C2" s="39" t="str"/>
      <x:c r="D2" s="39" t="str"/>
      <x:c r="E2" s="39" t="str"/>
      <x:c r="F2" s="39" t="str"/>
      <x:c r="G2" s="39" t="str"/>
      <x:c r="H2" s="39" t="str"/>
    </x:row>
    <x:row r="3">
      <x:c r="A3" s="251" t="str">
        <x:v>Obiettivo file</x:v>
      </x:c>
      <x:c r="B3" s="252" t="str">
        <x:v>Stimare tempi, costi, margini, carichi operativi e sostenibilità economica di Metrics.</x:v>
      </x:c>
      <x:c r="C3" s="252" t="str"/>
      <x:c r="D3" s="252" t="str"/>
      <x:c r="E3" s="39" t="str"/>
      <x:c r="F3" s="39" t="str"/>
      <x:c r="G3" s="39" t="str"/>
      <x:c r="H3" s="39" t="str"/>
    </x:row>
    <x:row r="4">
      <x:c r="A4" s="251" t="str">
        <x:v>Come usarlo</x:v>
      </x:c>
      <x:c r="B4" s="252" t="str">
        <x:v>Modifica solo i campi manuali evidenziati in giallo chiaro. Le celle azzurre contengono formule.</x:v>
      </x:c>
      <x:c r="C4" s="252" t="str"/>
      <x:c r="D4" s="252" t="str"/>
      <x:c r="E4" s="39" t="str"/>
      <x:c r="F4" s="39" t="str"/>
      <x:c r="G4" s="39" t="str"/>
      <x:c r="H4" s="39" t="str"/>
    </x:row>
    <x:row r="5">
      <x:c r="A5" s="251" t="str">
        <x:v>Campi gialli</x:v>
      </x:c>
      <x:c r="B5" s="252" t="str">
        <x:v>Input manuali: canoni, costi, ore dirette, margine target, costi tool, note e simulazioni.</x:v>
      </x:c>
      <x:c r="C5" s="252" t="str"/>
      <x:c r="D5" s="252" t="str"/>
      <x:c r="E5" s="39" t="str"/>
      <x:c r="F5" s="39" t="str"/>
      <x:c r="G5" s="39" t="str"/>
      <x:c r="H5" s="39" t="str"/>
    </x:row>
    <x:row r="6">
      <x:c r="A6" s="251" t="str">
        <x:v>Campi azzurri</x:v>
      </x:c>
      <x:c r="B6" s="252" t="str">
        <x:v>Formule automatiche: margini, split 50/50, tasse stimate, netto, ore calcolate, prezzo minimo.</x:v>
      </x:c>
      <x:c r="C6" s="252" t="str"/>
      <x:c r="D6" s="252" t="str"/>
      <x:c r="E6" s="39" t="str"/>
      <x:c r="F6" s="39" t="str"/>
      <x:c r="G6" s="39" t="str"/>
      <x:c r="H6" s="39" t="str"/>
    </x:row>
    <x:row r="7">
      <x:c r="A7" s="253" t="str">
        <x:v>Notion</x:v>
      </x:c>
      <x:c r="B7" s="254" t="str">
        <x:v>Lo sheet non sostituisce Notion. Il link Notion serve solo come collegamento alla gestione operativa.</x:v>
      </x:c>
      <x:c r="C7" s="254" t="str"/>
      <x:c r="D7" s="254" t="str"/>
      <x:c r="E7" s="196" t="str"/>
      <x:c r="F7" s="196" t="str"/>
      <x:c r="G7" s="196" t="str"/>
      <x:c r="H7" s="196" t="str"/>
    </x:row>
    <x:row r="8">
      <x:c r="A8" s="251" t="str">
        <x:v>Dashboard</x:v>
      </x:c>
      <x:c r="B8" s="252" t="str">
        <x:v>Leggi prima Dashboard: mostra margine clienti, margine Metrics, split Fabio/Frego, ore e alert.</x:v>
      </x:c>
      <x:c r="C8" s="252" t="str"/>
      <x:c r="D8" s="252" t="str"/>
      <x:c r="E8" s="39" t="str"/>
      <x:c r="F8" s="39" t="str"/>
      <x:c r="G8" s="39" t="str"/>
      <x:c r="H8" s="39" t="str"/>
    </x:row>
    <x:row r="9">
      <x:c r="A9" s="251" t="str">
        <x:v>Attività &amp; Tempi</x:v>
      </x:c>
      <x:c r="B9" s="252" t="str">
        <x:v>Qui si stimano le attività. Puoi usare minuti x volte/mese oppure ore mensili dirette.</x:v>
      </x:c>
      <x:c r="C9" s="252" t="str"/>
      <x:c r="D9" s="252" t="str"/>
      <x:c r="E9" s="39" t="str"/>
      <x:c r="F9" s="39" t="str"/>
      <x:c r="G9" s="39" t="str"/>
      <x:c r="H9" s="39" t="str"/>
    </x:row>
    <x:row r="10">
      <x:c r="A10" s="251" t="str">
        <x:v>Costi &amp; Tool</x:v>
      </x:c>
      <x:c r="B10" s="252" t="str">
        <x:v>Qui si separano costi cliente, costi condivisi, costi infrastruttura e costi personali informativi.</x:v>
      </x:c>
      <x:c r="C10" s="252" t="str"/>
      <x:c r="D10" s="252" t="str"/>
      <x:c r="E10" s="39" t="str"/>
      <x:c r="F10" s="39" t="str"/>
      <x:c r="G10" s="39" t="str"/>
      <x:c r="H10" s="39" t="str"/>
    </x:row>
    <x:row r="11">
      <x:c r="A11" s="251" t="str">
        <x:v>Costi personali Fabio</x:v>
      </x:c>
      <x:c r="B11" s="252" t="str">
        <x:v>Sono visibili solo per trasparenza: non riducono il margine e non modificano lo split.</x:v>
      </x:c>
      <x:c r="C11" s="252" t="str"/>
      <x:c r="D11" s="252" t="str"/>
      <x:c r="E11" s="39" t="str"/>
      <x:c r="F11" s="39" t="str"/>
      <x:c r="G11" s="39" t="str"/>
      <x:c r="H11" s="39" t="str"/>
    </x:row>
    <x:row r="12">
      <x:c r="A12" s="251" t="str">
        <x:v>Margini Clienti</x:v>
      </x:c>
      <x:c r="B12" s="252" t="str">
        <x:v>Qui controlli se il canone copre costi, ore, split, tasse e prezzo minimo consigliato.</x:v>
      </x:c>
      <x:c r="C12" s="252" t="str"/>
      <x:c r="D12" s="252" t="str"/>
      <x:c r="E12" s="39" t="str"/>
      <x:c r="F12" s="39" t="str"/>
      <x:c r="G12" s="39" t="str"/>
      <x:c r="H12" s="39" t="str"/>
    </x:row>
    <x:row r="13">
      <x:c r="A13" s="251" t="str">
        <x:v>Rinnovo</x:v>
      </x:c>
      <x:c r="B13" s="252" t="str">
        <x:v>Usalo per simulare nuovo prezzo, aumento consigliato, margine dopo rinnovo e note trattativa.</x:v>
      </x:c>
      <x:c r="C13" s="252" t="str"/>
      <x:c r="D13" s="252" t="str"/>
      <x:c r="E13" s="39" t="str"/>
      <x:c r="F13" s="39" t="str"/>
      <x:c r="G13" s="39" t="str"/>
      <x:c r="H13" s="39" t="str"/>
    </x:row>
    <x:row r="14">
      <x:c r="A14" s="253" t="str">
        <x:v>Compatibilità</x:v>
      </x:c>
      <x:c r="B14" s="254" t="str">
        <x:v>Ho rimosso la formattazione condizionale per evitare l'avviso di Google Sheets quando modifichi il file.</x:v>
      </x:c>
      <x:c r="C14" s="254" t="str"/>
      <x:c r="D14" s="254" t="str"/>
      <x:c r="E14" s="196" t="str"/>
      <x:c r="F14" s="196" t="str"/>
      <x:c r="G14" s="196" t="str"/>
      <x:c r="H14" s="196" t="str"/>
    </x:row>
    <x:row r="15">
      <x:c r="A15" s="39" t="str">
        <x:v>Dashboard</x:v>
      </x:c>
      <x:c r="B15" s="39" t="str">
        <x:v>Riepilogo generale di ricavi, margini, split, tasse, netto, costi personali e carico ore.</x:v>
      </x:c>
      <x:c r="C15" s="39" t="str">
        <x:v>Nessuno, è quasi tutto riepilogo.</x:v>
      </x:c>
      <x:c r="D15" s="39" t="str">
        <x:v>Formule e KPI automatici.</x:v>
      </x:c>
      <x:c r="E15" s="39" t="str"/>
      <x:c r="F15" s="39" t="str"/>
      <x:c r="G15" s="39" t="str"/>
      <x:c r="H15" s="39" t="str"/>
    </x:row>
    <x:row r="16">
      <x:c r="A16" s="39" t="str">
        <x:v>Attività &amp; Tempi</x:v>
      </x:c>
      <x:c r="B16" s="39" t="str">
        <x:v>Stima le ore operative per cliente/progetto e chi fa cosa.</x:v>
      </x:c>
      <x:c r="C16" s="39" t="str">
        <x:v>Cliente, fase, tipo attività, task, responsabili, priorità, delegabilità, minuti, volte/mese, ore dirette, link Notion, note.</x:v>
      </x:c>
      <x:c r="D16" s="39" t="str">
        <x:v>Ore/mese calcolate, costo orario, costo teorico.</x:v>
      </x:c>
      <x:c r="E16" s="39" t="str"/>
      <x:c r="F16" s="39" t="str"/>
      <x:c r="G16" s="39" t="str"/>
      <x:c r="H16" s="39" t="str"/>
    </x:row>
    <x:row r="17">
      <x:c r="A17" s="39" t="str">
        <x:v>Costi &amp; Tool</x:v>
      </x:c>
      <x:c r="B17" s="39" t="str">
        <x:v>Tiene separati tool clienti, costi personali Fabio e infrastruttura Metrics.</x:v>
      </x:c>
      <x:c r="C17" s="39" t="str">
        <x:v>Voce, categoria, progetto, frequenza, importo, incide sul margine, solo informativo, note.</x:v>
      </x:c>
      <x:c r="D17" s="39" t="str">
        <x:v>Mensilizzato se calcolato.</x:v>
      </x:c>
      <x:c r="E17" s="39" t="str"/>
      <x:c r="F17" s="39" t="str"/>
      <x:c r="G17" s="39" t="str"/>
      <x:c r="H17" s="39" t="str"/>
    </x:row>
    <x:row r="18">
      <x:c r="A18" s="39" t="str">
        <x:v>Margini Clienti</x:v>
      </x:c>
      <x:c r="B18" s="39" t="str">
        <x:v>Calcola ricavi, costi, margine, split 50/50, tasse, netto e prezzo minimo consigliato.</x:v>
      </x:c>
      <x:c r="C18" s="39" t="str">
        <x:v>Canone, budget ads, extra, costo Jessica, altri costi, margine target, tipo cliente, motivo strategico.</x:v>
      </x:c>
      <x:c r="D18" s="39" t="str">
        <x:v>Formule di ricavo, costo, margine, split, tasse, alert.</x:v>
      </x:c>
      <x:c r="E18" s="39" t="str"/>
      <x:c r="F18" s="39" t="str"/>
      <x:c r="G18" s="39" t="str"/>
      <x:c r="H18" s="39" t="str"/>
    </x:row>
    <x:row r="19">
      <x:c r="A19" s="39" t="str">
        <x:v>Acquisizione Metrics</x:v>
      </x:c>
      <x:c r="B19" s="39" t="str">
        <x:v>Calcola il costo interno per acquisire nuovi clienti Metrics.</x:v>
      </x:c>
      <x:c r="C19" s="39" t="str">
        <x:v>Proposte inviate, clienti chiusi, ore vendita Fabio, altri costi, valore primo contratto.</x:v>
      </x:c>
      <x:c r="D19" s="39" t="str">
        <x:v>Costo Jessica, costo tempo Fabio, costo acquisizione, margine primo contratto.</x:v>
      </x:c>
      <x:c r="E19" s="39" t="str"/>
      <x:c r="F19" s="39" t="str"/>
      <x:c r="G19" s="39" t="str"/>
      <x:c r="H19" s="39" t="str"/>
    </x:row>
    <x:row r="20">
      <x:c r="A20" s="39" t="str">
        <x:v>Rinnovo &amp; Rinegoziazione</x:v>
      </x:c>
      <x:c r="B20" s="39" t="str">
        <x:v>Simula aumenti prezzo, nuovo margine e motivazione rinnovo.</x:v>
      </x:c>
      <x:c r="C20" s="39" t="str">
        <x:v>Nuovo prezzo proposto, ore dopo delega, motivazione aumento, stato rinnovo, note, link Notion.</x:v>
      </x:c>
      <x:c r="D20" s="39" t="str">
        <x:v>Prezzo attuale, prezzo minimo, aumento, margini calcolati.</x:v>
      </x:c>
      <x:c r="E20" s="39" t="str"/>
      <x:c r="F20" s="39" t="str"/>
      <x:c r="G20" s="39" t="str"/>
      <x:c r="H20" s="39" t="str"/>
    </x:row>
    <x:row r="21">
      <x:c r="A21" s="39" t="str">
        <x:v>Impostazioni</x:v>
      </x:c>
      <x:c r="B21" s="39" t="str">
        <x:v>Parametri generali del modello.</x:v>
      </x:c>
      <x:c r="C21" s="39" t="str">
        <x:v>Valore orario, aliquote, margine target, bonus Jessica, capacità massima persone.</x:v>
      </x:c>
      <x:c r="D21" s="39" t="str">
        <x:v>Nessuno: qui sono tutti input, ma cambiali con attenzione.</x:v>
      </x:c>
      <x:c r="E21" s="39" t="str"/>
      <x:c r="F21" s="39" t="str"/>
      <x:c r="G21" s="39" t="str"/>
      <x:c r="H21" s="39" t="str"/>
    </x:row>
    <x:row r="22">
      <x:c r="A22" s="39" t="str">
        <x:v>Liste</x:v>
      </x:c>
      <x:c r="B22" s="39" t="str">
        <x:v>Contiene le opzioni usate nei menu a tendina.</x:v>
      </x:c>
      <x:c r="C22" s="39" t="str">
        <x:v>Aggiungi valori solo se servono davvero.</x:v>
      </x:c>
      <x:c r="D22" s="39" t="str">
        <x:v>Non cancellare se usati da validazioni.</x:v>
      </x:c>
      <x:c r="E22" s="39" t="str"/>
      <x:c r="F22" s="39" t="str"/>
      <x:c r="G22" s="39" t="str"/>
      <x:c r="H22" s="39" t="str"/>
    </x:row>
    <x:row r="23">
      <x:c r="A23" s="39" t="str"/>
      <x:c r="B23" s="39" t="str"/>
      <x:c r="C23" s="39" t="str"/>
      <x:c r="D23" s="39" t="str"/>
      <x:c r="E23" s="39" t="str"/>
      <x:c r="F23" s="39" t="str"/>
      <x:c r="G23" s="39" t="str"/>
      <x:c r="H23" s="39" t="str"/>
    </x:row>
    <x:row r="24">
      <x:c r="A24" s="39" t="str">
        <x:v>Logica fiscale</x:v>
      </x:c>
      <x:c r="B24" s="39" t="str">
        <x:v>Applicata uguale a Fabio e Frego: lordo → reddito imponibile 78% → INPS 26,07% → imponibile netto → imposta 5% → netto stimato.</x:v>
      </x:c>
      <x:c r="C24" s="39" t="str"/>
      <x:c r="D24" s="39" t="str"/>
      <x:c r="E24" s="39" t="str"/>
      <x:c r="F24" s="39" t="str"/>
      <x:c r="G24" s="39" t="str"/>
      <x:c r="H24" s="39" t="str"/>
    </x:row>
    <x:row r="25">
      <x:c r="A25" s="196" t="str">
        <x:v>Formula netto</x:v>
      </x:c>
      <x:c r="B25" s="196" t="str">
        <x:v>Netto = Lordo - Contributi INPS - Imposta</x:v>
      </x:c>
      <x:c r="C25" s="196" t="str"/>
      <x:c r="D25" s="196" t="str"/>
      <x:c r="E25" s="196" t="str"/>
      <x:c r="F25" s="196" t="str"/>
      <x:c r="G25" s="196" t="str"/>
      <x:c r="H25" s="196" t="str"/>
    </x:row>
    <x:row r="26">
      <x:c r="A26" s="39" t="str">
        <x:v>Nota importante</x:v>
      </x:c>
      <x:c r="B26" s="39" t="str">
        <x:v>I costi personali Fabio usati per Metrics sono solo informativi: non riducono il margine e non modificano lo split 50/50.</x:v>
      </x:c>
      <x:c r="C26" s="39" t="str"/>
      <x:c r="D26" s="39" t="str"/>
      <x:c r="E26" s="39" t="str"/>
      <x:c r="F26" s="39" t="str"/>
      <x:c r="G26" s="39" t="str"/>
      <x:c r="H26" s="39" t="str"/>
    </x:row>
    <x:row r="27">
      <x:c r="A27" s="39" t="str"/>
      <x:c r="B27" s="39" t="str"/>
      <x:c r="C27" s="39" t="str"/>
      <x:c r="D27" s="39" t="str"/>
      <x:c r="E27" s="39" t="str"/>
      <x:c r="F27" s="39" t="str"/>
      <x:c r="G27" s="39" t="str"/>
      <x:c r="H27" s="39" t="str"/>
    </x:row>
    <x:row r="28">
      <x:c r="A28" s="39" t="str">
        <x:v>Campi manuali principali</x:v>
      </x:c>
      <x:c r="B28" s="39" t="str">
        <x:v>Dove si trovano</x:v>
      </x:c>
      <x:c r="C28" s="39" t="str">
        <x:v>Esempi</x:v>
      </x:c>
      <x:c r="D28" s="39" t="str"/>
      <x:c r="E28" s="39" t="str"/>
      <x:c r="F28" s="39" t="str"/>
      <x:c r="G28" s="39" t="str"/>
      <x:c r="H28" s="39" t="str"/>
    </x:row>
    <x:row r="29">
      <x:c r="A29" s="39" t="str">
        <x:v>Tempi attività</x:v>
      </x:c>
      <x:c r="B29" s="39" t="str">
        <x:v>Attività &amp; Tempi</x:v>
      </x:c>
      <x:c r="C29" s="39" t="str">
        <x:v>Minuti per esecuzione, volte/mese, ore mensili dirette.</x:v>
      </x:c>
      <x:c r="D29" s="39" t="str"/>
      <x:c r="E29" s="39" t="str"/>
      <x:c r="F29" s="39" t="str"/>
      <x:c r="G29" s="39" t="str"/>
      <x:c r="H29" s="39" t="str"/>
    </x:row>
    <x:row r="30">
      <x:c r="A30" s="196" t="str">
        <x:v>Costi vivi e tool</x:v>
      </x:c>
      <x:c r="B30" s="196" t="str">
        <x:v>Costi &amp; Tool</x:v>
      </x:c>
      <x:c r="C30" s="196" t="str">
        <x:v>Importo, frequenza, incide sul margine sì/no.</x:v>
      </x:c>
      <x:c r="D30" s="196" t="str"/>
      <x:c r="E30" s="196" t="str"/>
      <x:c r="F30" s="196" t="str"/>
      <x:c r="G30" s="196" t="str"/>
      <x:c r="H30" s="196" t="str"/>
    </x:row>
    <x:row r="31">
      <x:c r="A31" s="39" t="str">
        <x:v>Canoni e costi cliente</x:v>
      </x:c>
      <x:c r="B31" s="39" t="str">
        <x:v>Margini Clienti</x:v>
      </x:c>
      <x:c r="C31" s="39" t="str">
        <x:v>Canone, extra, costo Jessica, margine target.</x:v>
      </x:c>
      <x:c r="D31" s="39" t="str"/>
      <x:c r="E31" s="39" t="str"/>
      <x:c r="F31" s="39" t="str"/>
      <x:c r="G31" s="39" t="str"/>
      <x:c r="H31" s="39" t="str"/>
    </x:row>
    <x:row r="32">
      <x:c r="A32" s="39" t="str">
        <x:v>Acquisizione interna</x:v>
      </x:c>
      <x:c r="B32" s="39" t="str">
        <x:v>Acquisizione Metrics</x:v>
      </x:c>
      <x:c r="C32" s="39" t="str">
        <x:v>Proposte, chiusure, ore vendita, valore primo contratto.</x:v>
      </x:c>
      <x:c r="D32" s="39" t="str"/>
      <x:c r="E32" s="39" t="str"/>
      <x:c r="F32" s="39" t="str"/>
      <x:c r="G32" s="39" t="str"/>
      <x:c r="H32" s="39" t="str"/>
    </x:row>
    <x:row r="33">
      <x:c r="A33" s="39" t="str">
        <x:v>Rinnovi</x:v>
      </x:c>
      <x:c r="B33" s="39" t="str">
        <x:v>Rinnovo &amp; Rinegoziazione</x:v>
      </x:c>
      <x:c r="C33" s="39" t="str">
        <x:v>Nuovo prezzo proposto, ore dopo delega, motivazione.</x:v>
      </x:c>
      <x:c r="D33" s="39" t="str"/>
      <x:c r="E33" s="39" t="str"/>
      <x:c r="F33" s="39" t="str"/>
      <x:c r="G33" s="39" t="str"/>
      <x:c r="H33" s="39" t="str"/>
    </x:row>
    <x:row r="34">
      <x:c r="A34" s="39" t="str"/>
      <x:c r="B34" s="39" t="str"/>
      <x:c r="C34" s="39" t="str"/>
      <x:c r="D34" s="39" t="str"/>
      <x:c r="E34" s="39" t="str"/>
      <x:c r="F34" s="39" t="str"/>
      <x:c r="G34" s="39" t="str"/>
      <x:c r="H34" s="39" t="str"/>
    </x:row>
    <x:row r="35">
      <x:c r="A35" s="39" t="str">
        <x:v>Regola pratica</x:v>
      </x:c>
      <x:c r="B35" s="39" t="str">
        <x:v>Se una cella è gialla puoi modificarla. Se è azzurra, di solito è una formula. Se vuoi cambiare una formula, fallo solo quando vuoi cambiare il modello.</x:v>
      </x:c>
      <x:c r="C35" s="39" t="str"/>
      <x:c r="D35" s="39" t="str"/>
      <x:c r="E35" s="39" t="str"/>
      <x:c r="F35" s="39" t="str"/>
      <x:c r="G35" s="39" t="str"/>
      <x:c r="H35" s="39" t="str"/>
    </x:row>
    <x:row r="36">
      <x:c r="A36" s="39"/>
      <x:c r="B36" s="39"/>
      <x:c r="C36" s="39"/>
      <x:c r="D36" s="39"/>
      <x:c r="E36" s="39"/>
      <x:c r="F36" s="39"/>
      <x:c r="G36" s="39"/>
      <x:c r="H36" s="39"/>
    </x:row>
    <x:row r="37">
      <x:c r="A37" s="39"/>
      <x:c r="B37" s="39"/>
      <x:c r="C37" s="39"/>
      <x:c r="D37" s="39"/>
      <x:c r="E37" s="39"/>
      <x:c r="F37" s="39"/>
      <x:c r="G37" s="39"/>
      <x:c r="H37" s="39"/>
    </x:row>
    <x:row r="38">
      <x:c r="A38" s="39"/>
      <x:c r="B38" s="39"/>
      <x:c r="C38" s="39"/>
      <x:c r="D38" s="39"/>
      <x:c r="E38" s="39"/>
      <x:c r="F38" s="39"/>
      <x:c r="G38" s="39"/>
      <x:c r="H38" s="39"/>
    </x:row>
    <x:row r="39">
      <x:c r="A39" s="39"/>
      <x:c r="B39" s="39"/>
      <x:c r="C39" s="39"/>
      <x:c r="D39" s="39"/>
      <x:c r="E39" s="39"/>
      <x:c r="F39" s="39"/>
      <x:c r="G39" s="39"/>
      <x:c r="H39" s="39"/>
    </x:row>
    <x:row r="40">
      <x:c r="A40" s="39"/>
      <x:c r="B40" s="39"/>
      <x:c r="C40" s="39"/>
      <x:c r="D40" s="39"/>
      <x:c r="E40" s="39"/>
      <x:c r="F40" s="39"/>
      <x:c r="G40" s="39"/>
      <x:c r="H40" s="39"/>
    </x:row>
  </x:sheetData>
  <x:mergeCells>
    <x:mergeCell ref="A1:H1"/>
    <x:mergeCell ref="A1:D1"/>
  </x:mergeCells>
  <x:pageMargins left="0.7" right="0.7" top="0.75" bottom="0.75" header="0.3" footer="0.3"/>
</x:worksheet>
</file>